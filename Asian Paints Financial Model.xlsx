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f6c9a0bfd45dad/Desktop/EXCEL/"/>
    </mc:Choice>
  </mc:AlternateContent>
  <xr:revisionPtr revIDLastSave="3" documentId="8_{06E5E77F-76CF-4D20-B8CB-5CC94F6BB807}" xr6:coauthVersionLast="47" xr6:coauthVersionMax="47" xr10:uidLastSave="{4B40AB15-C1C3-4695-AAB6-7E4CEAB62569}"/>
  <bookViews>
    <workbookView xWindow="-110" yWindow="-110" windowWidth="19420" windowHeight="11020" activeTab="7" xr2:uid="{6AE24E95-BA31-4425-84B9-97C1E50FECAF}"/>
  </bookViews>
  <sheets>
    <sheet name="Cover" sheetId="8" r:id="rId1"/>
    <sheet name="Assumptions" sheetId="1" r:id="rId2"/>
    <sheet name="Income Statement" sheetId="2" r:id="rId3"/>
    <sheet name="Balance Sheet" sheetId="3" r:id="rId4"/>
    <sheet name="Cash Flow" sheetId="4" r:id="rId5"/>
    <sheet name="Discounted Cash Flow" sheetId="5" r:id="rId6"/>
    <sheet name="Sensitivity" sheetId="7" r:id="rId7"/>
    <sheet name="Charts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8" l="1"/>
  <c r="I4" i="8"/>
  <c r="G10" i="8"/>
  <c r="B4" i="5"/>
  <c r="B3" i="5"/>
  <c r="F10" i="5"/>
  <c r="F11" i="5" s="1"/>
  <c r="F13" i="5" s="1"/>
  <c r="E10" i="5"/>
  <c r="B31" i="5"/>
  <c r="B29" i="5"/>
  <c r="B27" i="5"/>
  <c r="C16" i="5"/>
  <c r="D16" i="5"/>
  <c r="B16" i="5"/>
  <c r="C15" i="5"/>
  <c r="D15" i="5"/>
  <c r="B15" i="5"/>
  <c r="C14" i="5"/>
  <c r="D14" i="5"/>
  <c r="B14" i="5"/>
  <c r="C13" i="5"/>
  <c r="D13" i="5"/>
  <c r="B13" i="5"/>
  <c r="C12" i="5"/>
  <c r="D12" i="5"/>
  <c r="B12" i="5"/>
  <c r="E11" i="5"/>
  <c r="E13" i="5" s="1"/>
  <c r="C11" i="5"/>
  <c r="D11" i="5"/>
  <c r="B11" i="5"/>
  <c r="C10" i="5"/>
  <c r="D10" i="5"/>
  <c r="B10" i="5"/>
  <c r="C21" i="4"/>
  <c r="D21" i="4"/>
  <c r="E21" i="4"/>
  <c r="B21" i="4"/>
  <c r="D18" i="4"/>
  <c r="C18" i="4"/>
  <c r="C15" i="4"/>
  <c r="D15" i="4"/>
  <c r="E15" i="4"/>
  <c r="B15" i="4"/>
  <c r="B16" i="4" s="1"/>
  <c r="D14" i="4"/>
  <c r="D16" i="4" s="1"/>
  <c r="E14" i="4"/>
  <c r="E16" i="4" s="1"/>
  <c r="C14" i="4"/>
  <c r="C11" i="4"/>
  <c r="C12" i="4" s="1"/>
  <c r="D11" i="4"/>
  <c r="D12" i="4" s="1"/>
  <c r="E11" i="4"/>
  <c r="E12" i="4" s="1"/>
  <c r="B11" i="4"/>
  <c r="B12" i="4" s="1"/>
  <c r="D8" i="4"/>
  <c r="E8" i="4"/>
  <c r="C8" i="4"/>
  <c r="D7" i="4"/>
  <c r="E7" i="4"/>
  <c r="C7" i="4"/>
  <c r="D6" i="4"/>
  <c r="E6" i="4"/>
  <c r="C6" i="4"/>
  <c r="C5" i="4"/>
  <c r="D5" i="4"/>
  <c r="E5" i="4"/>
  <c r="B5" i="4"/>
  <c r="C4" i="4"/>
  <c r="D4" i="4"/>
  <c r="E4" i="4"/>
  <c r="B4" i="4"/>
  <c r="C16" i="3"/>
  <c r="B16" i="3"/>
  <c r="D13" i="3"/>
  <c r="D12" i="3"/>
  <c r="E12" i="3" s="1"/>
  <c r="C10" i="3"/>
  <c r="C14" i="3" s="1"/>
  <c r="D10" i="3"/>
  <c r="E10" i="3"/>
  <c r="B10" i="3"/>
  <c r="B14" i="3" s="1"/>
  <c r="B4" i="2"/>
  <c r="B6" i="3" s="1"/>
  <c r="B8" i="3" s="1"/>
  <c r="D7" i="3"/>
  <c r="C6" i="3"/>
  <c r="D6" i="3"/>
  <c r="E6" i="3"/>
  <c r="C5" i="3"/>
  <c r="C8" i="3" s="1"/>
  <c r="D5" i="3"/>
  <c r="E5" i="3"/>
  <c r="B5" i="3"/>
  <c r="C10" i="2"/>
  <c r="D10" i="2"/>
  <c r="E10" i="2"/>
  <c r="C9" i="2"/>
  <c r="D9" i="2"/>
  <c r="E9" i="2"/>
  <c r="C7" i="2"/>
  <c r="D7" i="2"/>
  <c r="E7" i="2"/>
  <c r="B7" i="2"/>
  <c r="C5" i="2"/>
  <c r="D5" i="2"/>
  <c r="E5" i="2"/>
  <c r="B5" i="2"/>
  <c r="C3" i="2"/>
  <c r="C4" i="2" s="1"/>
  <c r="D3" i="2"/>
  <c r="D4" i="2" s="1"/>
  <c r="E3" i="2"/>
  <c r="E4" i="2" s="1"/>
  <c r="B3" i="2"/>
  <c r="E3" i="1"/>
  <c r="D3" i="1"/>
  <c r="G2" i="2"/>
  <c r="G2" i="3"/>
  <c r="G2" i="4"/>
  <c r="G2" i="1"/>
  <c r="E18" i="5" l="1"/>
  <c r="B18" i="5"/>
  <c r="B19" i="5" s="1"/>
  <c r="C18" i="5"/>
  <c r="C19" i="5" s="1"/>
  <c r="F18" i="5"/>
  <c r="D18" i="5"/>
  <c r="D19" i="5" s="1"/>
  <c r="E14" i="5"/>
  <c r="E16" i="5"/>
  <c r="F14" i="5"/>
  <c r="F16" i="5" s="1"/>
  <c r="C16" i="4"/>
  <c r="D9" i="4"/>
  <c r="D17" i="4" s="1"/>
  <c r="D19" i="4" s="1"/>
  <c r="D4" i="3" s="1"/>
  <c r="B9" i="4"/>
  <c r="B17" i="4" s="1"/>
  <c r="B19" i="4" s="1"/>
  <c r="C9" i="4"/>
  <c r="C17" i="4" s="1"/>
  <c r="C19" i="4" s="1"/>
  <c r="E9" i="4"/>
  <c r="E17" i="4" s="1"/>
  <c r="D14" i="3"/>
  <c r="E13" i="3"/>
  <c r="E14" i="3" s="1"/>
  <c r="E7" i="3"/>
  <c r="C6" i="2"/>
  <c r="C8" i="2" s="1"/>
  <c r="D6" i="2"/>
  <c r="D8" i="2" s="1"/>
  <c r="E6" i="2"/>
  <c r="E8" i="2" s="1"/>
  <c r="B6" i="2"/>
  <c r="B8" i="2" s="1"/>
  <c r="E19" i="5" l="1"/>
  <c r="F19" i="5"/>
  <c r="B21" i="5"/>
  <c r="B22" i="5" s="1"/>
  <c r="B25" i="5" s="1"/>
  <c r="E18" i="4"/>
  <c r="E19" i="4" s="1"/>
  <c r="E4" i="3" s="1"/>
  <c r="E8" i="3" s="1"/>
  <c r="E16" i="3" s="1"/>
  <c r="D8" i="3"/>
  <c r="D16" i="3" s="1"/>
  <c r="B9" i="2"/>
  <c r="B10" i="2" s="1"/>
  <c r="B24" i="5" l="1"/>
  <c r="B26" i="5" s="1"/>
  <c r="B28" i="5" s="1"/>
  <c r="B30" i="5" s="1"/>
  <c r="A4" i="7" s="1"/>
  <c r="B32" i="5" l="1"/>
</calcChain>
</file>

<file path=xl/sharedStrings.xml><?xml version="1.0" encoding="utf-8"?>
<sst xmlns="http://schemas.openxmlformats.org/spreadsheetml/2006/main" count="138" uniqueCount="100">
  <si>
    <t>Driver</t>
  </si>
  <si>
    <t>FY2027E</t>
  </si>
  <si>
    <t>FY2028E</t>
  </si>
  <si>
    <t>Revenue Growth %</t>
  </si>
  <si>
    <t>Tax Rate</t>
  </si>
  <si>
    <r>
      <t>COGS %</t>
    </r>
    <r>
      <rPr>
        <sz val="11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(what % of revenue goes to making the product)</t>
    </r>
  </si>
  <si>
    <r>
      <t>COGS %</t>
    </r>
    <r>
      <rPr>
        <sz val="11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(what % of revenue goes to making the product)</t>
    </r>
  </si>
  <si>
    <t>Revenue(in Crores)</t>
  </si>
  <si>
    <t>EBITDA Margin%</t>
  </si>
  <si>
    <t>D&amp;A (Depriciation) (in Crores)</t>
  </si>
  <si>
    <t>Capex (in Crores)</t>
  </si>
  <si>
    <t>DSO(Debtor Days)</t>
  </si>
  <si>
    <t>DIO(Inventory Days)</t>
  </si>
  <si>
    <t>DPO(Payable Days)</t>
  </si>
  <si>
    <r>
      <t>EBITDA Margin %</t>
    </r>
    <r>
      <rPr>
        <sz val="11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(operating profit generated before interest, taxes, depriciation &amp; ammortization)</t>
    </r>
  </si>
  <si>
    <r>
      <t>EBITDA Margin %</t>
    </r>
    <r>
      <rPr>
        <sz val="11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(operating profit generated before interest, taxes, depriciation &amp; ammortization)</t>
    </r>
  </si>
  <si>
    <r>
      <t xml:space="preserve">Dividends - </t>
    </r>
    <r>
      <rPr>
        <i/>
        <sz val="11"/>
        <color theme="1"/>
        <rFont val="Calibri"/>
        <family val="2"/>
        <scheme val="minor"/>
      </rPr>
      <t>(A portion of a company’s profit distributed to shareholders)</t>
    </r>
  </si>
  <si>
    <t>ASIAN PAINTS</t>
  </si>
  <si>
    <t>Dividends (~60-65%) (in Crores)</t>
  </si>
  <si>
    <t>Interest Expense (in Crores)</t>
  </si>
  <si>
    <t>EBITDA (in Crores)</t>
  </si>
  <si>
    <t>EBIT (in Crores)</t>
  </si>
  <si>
    <t>EBT (Profit before Tax)</t>
  </si>
  <si>
    <t>Tax</t>
  </si>
  <si>
    <t>Net Income</t>
  </si>
  <si>
    <t>Revenue * EBITDA Margin</t>
  </si>
  <si>
    <t>EBITDA - D&amp;A</t>
  </si>
  <si>
    <t>EBIT - Interest Expense</t>
  </si>
  <si>
    <t>EBT * Tax Rate</t>
  </si>
  <si>
    <t>EBT-Tax</t>
  </si>
  <si>
    <t>ASSETS</t>
  </si>
  <si>
    <t>LIABILITIES &amp; EQUITY SIDE</t>
  </si>
  <si>
    <t>Share Capital</t>
  </si>
  <si>
    <t>Borrowings (in Crores)</t>
  </si>
  <si>
    <t>Accounts Payable(in Crores)</t>
  </si>
  <si>
    <t>Retained Earnings(in Crores)</t>
  </si>
  <si>
    <t>Cash &amp; Equivalents(in Crores)</t>
  </si>
  <si>
    <t>Accounts Receivable(in Crores)</t>
  </si>
  <si>
    <t>Inventory(in Crores)</t>
  </si>
  <si>
    <t>Fixed Assets(in Crores)</t>
  </si>
  <si>
    <t>Total Assets (in Crores)</t>
  </si>
  <si>
    <t>Total Liabilities &amp; Equity</t>
  </si>
  <si>
    <t>Check : Assets = Liabilities + Equity</t>
  </si>
  <si>
    <t>Line Item</t>
  </si>
  <si>
    <t>Operating Activities</t>
  </si>
  <si>
    <t>D&amp;A</t>
  </si>
  <si>
    <t>Change in Receivables</t>
  </si>
  <si>
    <t>Change in Inventory</t>
  </si>
  <si>
    <t>Change in Payables</t>
  </si>
  <si>
    <t>Investing Activities</t>
  </si>
  <si>
    <t>Capex</t>
  </si>
  <si>
    <t>Financial Activities</t>
  </si>
  <si>
    <t>Change in Debt</t>
  </si>
  <si>
    <t>Dividends Paid</t>
  </si>
  <si>
    <t>Cash from operations (CFO)</t>
  </si>
  <si>
    <t>Cash from investing (CFI)</t>
  </si>
  <si>
    <t>Cash from Financing (CFF)</t>
  </si>
  <si>
    <t>Net Change in Cash</t>
  </si>
  <si>
    <t>Opening Cash</t>
  </si>
  <si>
    <t>Closing Cash</t>
  </si>
  <si>
    <t>Check: Ending Cash = Balance Sheet Cash</t>
  </si>
  <si>
    <t>DCF Assumptions</t>
  </si>
  <si>
    <t>Terminal growth rate</t>
  </si>
  <si>
    <t>Weighted average cost of capital (WACC)/Discount Rate</t>
  </si>
  <si>
    <t>Projection Years</t>
  </si>
  <si>
    <t>Shares Outstanding (in Crores)</t>
  </si>
  <si>
    <t>Current Market Price (in Crores)</t>
  </si>
  <si>
    <t>Net Debt (in Crores)</t>
  </si>
  <si>
    <t>-</t>
  </si>
  <si>
    <t>Revenue</t>
  </si>
  <si>
    <t>Assuming 7% then 6% growth as Asian Paints matures</t>
  </si>
  <si>
    <t>EBITDA</t>
  </si>
  <si>
    <t>Tax on EBIT</t>
  </si>
  <si>
    <t>Free Cash Flow to Firm (FCFF)</t>
  </si>
  <si>
    <t>Year Number</t>
  </si>
  <si>
    <t>Discount Factor</t>
  </si>
  <si>
    <t>FCFF = EBIT - Tax on EBIT + D&amp;A - Capex</t>
  </si>
  <si>
    <t>Discount Factor = 1/(1+WACC)^Year Number</t>
  </si>
  <si>
    <t>Less: Net Debt (in Crores)</t>
  </si>
  <si>
    <t>Enterprise Value (in Crores)</t>
  </si>
  <si>
    <t>Discounted Terminal Value (in Crores)</t>
  </si>
  <si>
    <t>Sum of Discounted FCFF (in Crores)</t>
  </si>
  <si>
    <t>Terminal Value (in Crores)</t>
  </si>
  <si>
    <t>Discounted FCFF (in Crores)</t>
  </si>
  <si>
    <t>Equity Value</t>
  </si>
  <si>
    <t>Shares Outstanding</t>
  </si>
  <si>
    <t>Intrinsic Value per Share</t>
  </si>
  <si>
    <t>Current Market Price</t>
  </si>
  <si>
    <t>Upside/Downside</t>
  </si>
  <si>
    <t>FY2023</t>
  </si>
  <si>
    <t>FY2024</t>
  </si>
  <si>
    <t>FY2025E</t>
  </si>
  <si>
    <t>FY2026E</t>
  </si>
  <si>
    <t>Terminal Growth Rate</t>
  </si>
  <si>
    <t>WACC input</t>
  </si>
  <si>
    <t>Terminat Growth Rate</t>
  </si>
  <si>
    <t>WACC inputs</t>
  </si>
  <si>
    <t>EQUITY RESEARCH — FINANCIAL MODEL</t>
  </si>
  <si>
    <t>ASIAN PAINTS LIMITED</t>
  </si>
  <si>
    <t>NSE: ASIANPAINT | Consumer Durables — Paints | 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</si>
</sst>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%"/>
    <numFmt numFmtId="165" formatCode="_ * #,##0_ ;_ * \-#,##0_ ;_ * &quot;-&quot;??_ ;_ @_ "/>
    <numFmt numFmtId="172" formatCode="_ &quot;₹&quot;\ * #,##0_ ;_ &quot;₹&quot;\ * \-#,##0_ ;_ &quot;₹&quot;\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4" tint="0.59999389629810485"/>
      <name val="Arial"/>
      <family val="2"/>
    </font>
    <font>
      <b/>
      <sz val="22"/>
      <color theme="0"/>
      <name val="Arial"/>
      <family val="2"/>
    </font>
    <font>
      <sz val="10"/>
      <color theme="4" tint="0.59999389629810485"/>
      <name val="Arial"/>
      <family val="2"/>
    </font>
    <font>
      <sz val="11"/>
      <color theme="4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165" fontId="0" fillId="4" borderId="1" xfId="1" applyNumberFormat="1" applyFont="1" applyFill="1" applyBorder="1" applyAlignment="1">
      <alignment horizontal="right" vertical="center"/>
    </xf>
    <xf numFmtId="43" fontId="0" fillId="0" borderId="1" xfId="0" applyNumberFormat="1" applyBorder="1" applyAlignment="1">
      <alignment horizontal="right" vertical="center"/>
    </xf>
    <xf numFmtId="43" fontId="0" fillId="0" borderId="6" xfId="0" applyNumberFormat="1" applyBorder="1" applyAlignment="1">
      <alignment horizontal="right" vertical="center"/>
    </xf>
    <xf numFmtId="164" fontId="0" fillId="3" borderId="1" xfId="2" applyNumberFormat="1" applyFont="1" applyFill="1" applyBorder="1" applyAlignment="1">
      <alignment horizontal="right" vertical="center"/>
    </xf>
    <xf numFmtId="164" fontId="0" fillId="3" borderId="6" xfId="2" applyNumberFormat="1" applyFont="1" applyFill="1" applyBorder="1" applyAlignment="1">
      <alignment horizontal="right" vertical="center"/>
    </xf>
    <xf numFmtId="9" fontId="0" fillId="4" borderId="1" xfId="2" applyFont="1" applyFill="1" applyBorder="1" applyAlignment="1">
      <alignment horizontal="right" vertical="center"/>
    </xf>
    <xf numFmtId="9" fontId="0" fillId="4" borderId="6" xfId="2" applyFont="1" applyFill="1" applyBorder="1" applyAlignment="1">
      <alignment horizontal="right" vertical="center"/>
    </xf>
    <xf numFmtId="9" fontId="0" fillId="3" borderId="1" xfId="0" applyNumberFormat="1" applyFill="1" applyBorder="1" applyAlignment="1">
      <alignment horizontal="right" vertical="center"/>
    </xf>
    <xf numFmtId="9" fontId="0" fillId="3" borderId="6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5" fontId="0" fillId="4" borderId="6" xfId="1" applyNumberFormat="1" applyFont="1" applyFill="1" applyBorder="1" applyAlignment="1">
      <alignment horizontal="right" vertical="center"/>
    </xf>
    <xf numFmtId="165" fontId="0" fillId="3" borderId="1" xfId="1" applyNumberFormat="1" applyFont="1" applyFill="1" applyBorder="1" applyAlignment="1">
      <alignment horizontal="right" vertical="center"/>
    </xf>
    <xf numFmtId="165" fontId="0" fillId="3" borderId="6" xfId="1" applyNumberFormat="1" applyFont="1" applyFill="1" applyBorder="1" applyAlignment="1">
      <alignment horizontal="right" vertical="center"/>
    </xf>
    <xf numFmtId="0" fontId="0" fillId="4" borderId="6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6" xfId="0" applyFill="1" applyBorder="1" applyAlignment="1">
      <alignment horizontal="right" vertical="center"/>
    </xf>
    <xf numFmtId="165" fontId="0" fillId="4" borderId="8" xfId="1" applyNumberFormat="1" applyFont="1" applyFill="1" applyBorder="1" applyAlignment="1">
      <alignment horizontal="right" vertical="center"/>
    </xf>
    <xf numFmtId="165" fontId="0" fillId="4" borderId="9" xfId="1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right" vertical="center"/>
    </xf>
    <xf numFmtId="165" fontId="0" fillId="5" borderId="6" xfId="1" applyNumberFormat="1" applyFont="1" applyFill="1" applyBorder="1" applyAlignment="1">
      <alignment horizontal="right" vertical="center"/>
    </xf>
    <xf numFmtId="165" fontId="0" fillId="6" borderId="8" xfId="1" applyNumberFormat="1" applyFont="1" applyFill="1" applyBorder="1" applyAlignment="1">
      <alignment horizontal="right" vertical="center"/>
    </xf>
    <xf numFmtId="165" fontId="0" fillId="6" borderId="9" xfId="1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0" fontId="3" fillId="0" borderId="1" xfId="0" applyFont="1" applyBorder="1"/>
    <xf numFmtId="165" fontId="0" fillId="0" borderId="1" xfId="0" applyNumberFormat="1" applyBorder="1"/>
    <xf numFmtId="0" fontId="0" fillId="0" borderId="1" xfId="0" applyBorder="1"/>
    <xf numFmtId="165" fontId="0" fillId="4" borderId="1" xfId="1" applyNumberFormat="1" applyFont="1" applyFill="1" applyBorder="1"/>
    <xf numFmtId="165" fontId="0" fillId="0" borderId="1" xfId="1" applyNumberFormat="1" applyFont="1" applyBorder="1"/>
    <xf numFmtId="165" fontId="0" fillId="3" borderId="1" xfId="1" applyNumberFormat="1" applyFont="1" applyFill="1" applyBorder="1"/>
    <xf numFmtId="0" fontId="3" fillId="7" borderId="1" xfId="0" applyFont="1" applyFill="1" applyBorder="1"/>
    <xf numFmtId="165" fontId="3" fillId="7" borderId="1" xfId="0" applyNumberFormat="1" applyFont="1" applyFill="1" applyBorder="1"/>
    <xf numFmtId="0" fontId="0" fillId="3" borderId="1" xfId="0" applyFill="1" applyBorder="1"/>
    <xf numFmtId="0" fontId="0" fillId="6" borderId="1" xfId="0" applyFill="1" applyBorder="1"/>
    <xf numFmtId="165" fontId="0" fillId="6" borderId="1" xfId="1" applyNumberFormat="1" applyFont="1" applyFill="1" applyBorder="1"/>
    <xf numFmtId="2" fontId="0" fillId="0" borderId="1" xfId="0" applyNumberFormat="1" applyBorder="1"/>
    <xf numFmtId="0" fontId="0" fillId="4" borderId="1" xfId="0" applyFill="1" applyBorder="1"/>
    <xf numFmtId="0" fontId="3" fillId="8" borderId="0" xfId="0" applyFont="1" applyFill="1"/>
    <xf numFmtId="165" fontId="0" fillId="8" borderId="0" xfId="0" applyNumberFormat="1" applyFill="1"/>
    <xf numFmtId="0" fontId="0" fillId="0" borderId="5" xfId="0" applyBorder="1"/>
    <xf numFmtId="165" fontId="0" fillId="0" borderId="6" xfId="0" applyNumberFormat="1" applyBorder="1"/>
    <xf numFmtId="165" fontId="0" fillId="0" borderId="6" xfId="1" applyNumberFormat="1" applyFont="1" applyBorder="1"/>
    <xf numFmtId="0" fontId="0" fillId="4" borderId="6" xfId="0" applyFill="1" applyBorder="1"/>
    <xf numFmtId="0" fontId="0" fillId="3" borderId="6" xfId="0" applyFill="1" applyBorder="1"/>
    <xf numFmtId="0" fontId="0" fillId="0" borderId="6" xfId="0" applyBorder="1"/>
    <xf numFmtId="2" fontId="0" fillId="0" borderId="6" xfId="0" applyNumberFormat="1" applyBorder="1"/>
    <xf numFmtId="0" fontId="0" fillId="0" borderId="7" xfId="0" applyBorder="1"/>
    <xf numFmtId="43" fontId="0" fillId="0" borderId="8" xfId="0" applyNumberFormat="1" applyBorder="1"/>
    <xf numFmtId="43" fontId="0" fillId="0" borderId="9" xfId="0" applyNumberFormat="1" applyBorder="1"/>
    <xf numFmtId="0" fontId="0" fillId="0" borderId="2" xfId="0" applyBorder="1"/>
    <xf numFmtId="43" fontId="0" fillId="0" borderId="4" xfId="0" applyNumberFormat="1" applyBorder="1"/>
    <xf numFmtId="43" fontId="0" fillId="0" borderId="6" xfId="0" applyNumberFormat="1" applyBorder="1"/>
    <xf numFmtId="0" fontId="3" fillId="0" borderId="5" xfId="0" applyFont="1" applyBorder="1"/>
    <xf numFmtId="43" fontId="3" fillId="0" borderId="6" xfId="0" applyNumberFormat="1" applyFont="1" applyBorder="1"/>
    <xf numFmtId="0" fontId="3" fillId="0" borderId="7" xfId="0" applyFont="1" applyBorder="1"/>
    <xf numFmtId="9" fontId="3" fillId="0" borderId="9" xfId="2" applyFont="1" applyBorder="1"/>
    <xf numFmtId="9" fontId="0" fillId="0" borderId="1" xfId="2" applyFont="1" applyBorder="1"/>
    <xf numFmtId="1" fontId="0" fillId="0" borderId="1" xfId="0" applyNumberFormat="1" applyBorder="1"/>
    <xf numFmtId="1" fontId="0" fillId="0" borderId="6" xfId="0" applyNumberFormat="1" applyBorder="1"/>
    <xf numFmtId="1" fontId="0" fillId="0" borderId="8" xfId="0" applyNumberFormat="1" applyBorder="1"/>
    <xf numFmtId="1" fontId="0" fillId="0" borderId="9" xfId="0" applyNumberFormat="1" applyBorder="1"/>
    <xf numFmtId="9" fontId="3" fillId="9" borderId="1" xfId="2" applyFont="1" applyFill="1" applyBorder="1"/>
    <xf numFmtId="9" fontId="3" fillId="9" borderId="6" xfId="2" applyFont="1" applyFill="1" applyBorder="1"/>
    <xf numFmtId="9" fontId="3" fillId="10" borderId="5" xfId="2" applyFont="1" applyFill="1" applyBorder="1"/>
    <xf numFmtId="9" fontId="3" fillId="10" borderId="7" xfId="2" applyFont="1" applyFill="1" applyBorder="1"/>
    <xf numFmtId="165" fontId="0" fillId="3" borderId="5" xfId="0" applyNumberFormat="1" applyFill="1" applyBorder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" xfId="1" applyNumberFormat="1" applyFont="1" applyFill="1" applyBorder="1" applyAlignment="1">
      <alignment horizontal="center"/>
    </xf>
    <xf numFmtId="0" fontId="0" fillId="4" borderId="6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9" fontId="0" fillId="4" borderId="18" xfId="2" applyFont="1" applyFill="1" applyBorder="1" applyAlignment="1">
      <alignment horizontal="center"/>
    </xf>
    <xf numFmtId="9" fontId="0" fillId="4" borderId="19" xfId="2" applyFont="1" applyFill="1" applyBorder="1" applyAlignment="1">
      <alignment horizontal="center"/>
    </xf>
    <xf numFmtId="9" fontId="0" fillId="4" borderId="20" xfId="2" applyFont="1" applyFill="1" applyBorder="1" applyAlignment="1">
      <alignment horizontal="center"/>
    </xf>
    <xf numFmtId="9" fontId="0" fillId="3" borderId="18" xfId="2" applyFont="1" applyFill="1" applyBorder="1" applyAlignment="1">
      <alignment horizontal="center"/>
    </xf>
    <xf numFmtId="9" fontId="0" fillId="3" borderId="19" xfId="2" applyFont="1" applyFill="1" applyBorder="1" applyAlignment="1">
      <alignment horizontal="center"/>
    </xf>
    <xf numFmtId="9" fontId="0" fillId="3" borderId="20" xfId="2" applyFont="1" applyFill="1" applyBorder="1" applyAlignment="1">
      <alignment horizontal="center"/>
    </xf>
    <xf numFmtId="0" fontId="0" fillId="0" borderId="0" xfId="0" applyAlignment="1">
      <alignment wrapText="1"/>
    </xf>
    <xf numFmtId="0" fontId="9" fillId="2" borderId="0" xfId="0" applyFont="1" applyFill="1"/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43" fontId="9" fillId="2" borderId="0" xfId="0" applyNumberFormat="1" applyFont="1" applyFill="1"/>
    <xf numFmtId="6" fontId="13" fillId="2" borderId="0" xfId="0" applyNumberFormat="1" applyFont="1" applyFill="1"/>
    <xf numFmtId="172" fontId="13" fillId="2" borderId="0" xfId="4" applyNumberFormat="1" applyFont="1" applyFill="1"/>
    <xf numFmtId="9" fontId="13" fillId="2" borderId="0" xfId="0" applyNumberFormat="1" applyFont="1" applyFill="1"/>
  </cellXfs>
  <cellStyles count="5">
    <cellStyle name="Comma" xfId="1" builtinId="3"/>
    <cellStyle name="Currency" xfId="4" builtinId="4"/>
    <cellStyle name="Hyperlink" xfId="3" builtinId="8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accent1">
                    <a:lumMod val="50000"/>
                  </a:schemeClr>
                </a:solidFill>
              </a:rPr>
              <a:t>Revenue &amp; EBITDA — FY2023 to FY2026E</a:t>
            </a:r>
            <a:endParaRPr lang="en-US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Statement'!$A$3</c:f>
              <c:strCache>
                <c:ptCount val="1"/>
                <c:pt idx="0">
                  <c:v>Revenue(in Crores)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'Income Statement'!$B$3:$E$3</c:f>
              <c:numCache>
                <c:formatCode>_ * #,##0_ ;_ * \-#,##0_ ;_ * "-"??_ ;_ @_ </c:formatCode>
                <c:ptCount val="4"/>
                <c:pt idx="0">
                  <c:v>34489</c:v>
                </c:pt>
                <c:pt idx="1">
                  <c:v>35495</c:v>
                </c:pt>
                <c:pt idx="2">
                  <c:v>37269.75</c:v>
                </c:pt>
                <c:pt idx="3">
                  <c:v>39878.6325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0-4A7F-975A-F104E16AE591}"/>
            </c:ext>
          </c:extLst>
        </c:ser>
        <c:ser>
          <c:idx val="1"/>
          <c:order val="1"/>
          <c:tx>
            <c:strRef>
              <c:f>'Income Statement'!$A$4</c:f>
              <c:strCache>
                <c:ptCount val="1"/>
                <c:pt idx="0">
                  <c:v>EBITDA (in Crores)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'Income Statement'!$B$4:$E$4</c:f>
              <c:numCache>
                <c:formatCode>_ * #,##0_ ;_ * \-#,##0_ ;_ * "-"??_ ;_ @_ </c:formatCode>
                <c:ptCount val="4"/>
                <c:pt idx="0">
                  <c:v>6208.0199999999995</c:v>
                </c:pt>
                <c:pt idx="1">
                  <c:v>7453.95</c:v>
                </c:pt>
                <c:pt idx="2">
                  <c:v>7081.2525000000005</c:v>
                </c:pt>
                <c:pt idx="3">
                  <c:v>7576.9401749999997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0-4A7F-975A-F104E16AE5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2189023"/>
        <c:axId val="1312189503"/>
      </c:barChart>
      <c:catAx>
        <c:axId val="1312189023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2189503"/>
        <c:crosses val="autoZero"/>
        <c:auto val="1"/>
        <c:lblAlgn val="ctr"/>
        <c:lblOffset val="100"/>
        <c:noMultiLvlLbl val="0"/>
      </c:catAx>
      <c:valAx>
        <c:axId val="1312189503"/>
        <c:scaling>
          <c:orientation val="minMax"/>
        </c:scaling>
        <c:delete val="0"/>
        <c:axPos val="b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18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Free Cash Flow to Firm (FCFF) </a:t>
            </a:r>
          </a:p>
          <a:p>
            <a:pPr>
              <a:defRPr/>
            </a:pPr>
            <a:r>
              <a:rPr lang="en-US" sz="1400" b="0" i="0" u="none" strike="noStrike" baseline="0"/>
              <a:t> FY2027E to FY2030E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'Discounted Cash Flow'!$B$9:$F$9</c:f>
              <c:strCache>
                <c:ptCount val="5"/>
                <c:pt idx="0">
                  <c:v>FY2024</c:v>
                </c:pt>
                <c:pt idx="1">
                  <c:v>FY2025E</c:v>
                </c:pt>
                <c:pt idx="2">
                  <c:v>FY2026E</c:v>
                </c:pt>
                <c:pt idx="3">
                  <c:v>FY2027E</c:v>
                </c:pt>
                <c:pt idx="4">
                  <c:v>FY2028E</c:v>
                </c:pt>
              </c:strCache>
            </c:strRef>
          </c:cat>
          <c:val>
            <c:numRef>
              <c:f>'Discounted Cash Flow'!$B$16:$F$16</c:f>
              <c:numCache>
                <c:formatCode>_ * #,##0_ ;_ * \-#,##0_ ;_ * "-"??_ ;_ @_ </c:formatCode>
                <c:ptCount val="5"/>
                <c:pt idx="0">
                  <c:v>3321.7219999999998</c:v>
                </c:pt>
                <c:pt idx="1">
                  <c:v>4565.8868500000008</c:v>
                </c:pt>
                <c:pt idx="2">
                  <c:v>4692.9357295</c:v>
                </c:pt>
                <c:pt idx="3">
                  <c:v>4998.4212305649999</c:v>
                </c:pt>
                <c:pt idx="4">
                  <c:v>5271.3865043988999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6-41F9-8BDA-081D21B3EE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0096735"/>
        <c:axId val="1363796111"/>
      </c:lineChart>
      <c:catAx>
        <c:axId val="157009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96111"/>
        <c:crosses val="autoZero"/>
        <c:auto val="1"/>
        <c:lblAlgn val="ctr"/>
        <c:lblOffset val="100"/>
        <c:noMultiLvlLbl val="0"/>
      </c:catAx>
      <c:valAx>
        <c:axId val="1363796111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19538</xdr:colOff>
      <xdr:row>7</xdr:row>
      <xdr:rowOff>180730</xdr:rowOff>
    </xdr:from>
    <xdr:to>
      <xdr:col>4</xdr:col>
      <xdr:colOff>307730</xdr:colOff>
      <xdr:row>11</xdr:row>
      <xdr:rowOff>92807</xdr:rowOff>
    </xdr:to>
    <xdr:sp macro="" textlink="G10">
      <xdr:nvSpPr>
        <xdr:cNvPr id="7" name="Flowchart: Alternate Process 6">
          <a:extLst>
            <a:ext uri="{FF2B5EF4-FFF2-40B4-BE49-F238E27FC236}">
              <a16:creationId xmlns:a16="http://schemas.microsoft.com/office/drawing/2014/main" id="{8BE7AAAB-4B9B-497F-C070-FF83CB9FBD4D}"/>
            </a:ext>
          </a:extLst>
        </xdr:cNvPr>
        <xdr:cNvSpPr/>
      </xdr:nvSpPr>
      <xdr:spPr>
        <a:xfrm>
          <a:off x="630115" y="1650999"/>
          <a:ext cx="2119923" cy="654539"/>
        </a:xfrm>
        <a:prstGeom prst="flowChartAlternateProcess">
          <a:avLst/>
        </a:prstGeom>
        <a:solidFill>
          <a:schemeClr val="accent5">
            <a:lumMod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5375F09E-881A-4A3B-A6E6-156A84484840}" type="TxLink">
            <a:rPr lang="en-US" sz="1100" b="0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t>₹ 598</a:t>
          </a:fld>
          <a:endParaRPr lang="en-US" sz="1100"/>
        </a:p>
      </xdr:txBody>
    </xdr:sp>
    <xdr:clientData/>
  </xdr:twoCellAnchor>
  <xdr:twoCellAnchor>
    <xdr:from>
      <xdr:col>0</xdr:col>
      <xdr:colOff>66431</xdr:colOff>
      <xdr:row>7</xdr:row>
      <xdr:rowOff>11235</xdr:rowOff>
    </xdr:from>
    <xdr:to>
      <xdr:col>9</xdr:col>
      <xdr:colOff>533400</xdr:colOff>
      <xdr:row>7</xdr:row>
      <xdr:rowOff>12700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A1730B7-8E97-91F8-1837-A2134044D7E9}"/>
            </a:ext>
          </a:extLst>
        </xdr:cNvPr>
        <xdr:cNvCxnSpPr/>
      </xdr:nvCxnSpPr>
      <xdr:spPr>
        <a:xfrm>
          <a:off x="66431" y="1471735"/>
          <a:ext cx="6067669" cy="1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53731</xdr:colOff>
      <xdr:row>8</xdr:row>
      <xdr:rowOff>73268</xdr:rowOff>
    </xdr:from>
    <xdr:to>
      <xdr:col>4</xdr:col>
      <xdr:colOff>166077</xdr:colOff>
      <xdr:row>9</xdr:row>
      <xdr:rowOff>151423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B2F1A160-A405-A141-4D5D-262F43F56406}"/>
            </a:ext>
          </a:extLst>
        </xdr:cNvPr>
        <xdr:cNvSpPr/>
      </xdr:nvSpPr>
      <xdr:spPr>
        <a:xfrm>
          <a:off x="664308" y="1729153"/>
          <a:ext cx="1944077" cy="263770"/>
        </a:xfrm>
        <a:prstGeom prst="flowChartProcess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/>
            <a:t>Intrinsic Value per Share</a:t>
          </a:r>
          <a:endParaRPr lang="en-US" sz="1100"/>
        </a:p>
      </xdr:txBody>
    </xdr:sp>
    <xdr:clientData/>
  </xdr:twoCellAnchor>
  <xdr:twoCellAnchor>
    <xdr:from>
      <xdr:col>5</xdr:col>
      <xdr:colOff>415192</xdr:colOff>
      <xdr:row>8</xdr:row>
      <xdr:rowOff>9768</xdr:rowOff>
    </xdr:from>
    <xdr:to>
      <xdr:col>9</xdr:col>
      <xdr:colOff>43962</xdr:colOff>
      <xdr:row>11</xdr:row>
      <xdr:rowOff>107461</xdr:rowOff>
    </xdr:to>
    <xdr:sp macro="" textlink="I4">
      <xdr:nvSpPr>
        <xdr:cNvPr id="11" name="Flowchart: Alternate Process 10">
          <a:extLst>
            <a:ext uri="{FF2B5EF4-FFF2-40B4-BE49-F238E27FC236}">
              <a16:creationId xmlns:a16="http://schemas.microsoft.com/office/drawing/2014/main" id="{1BDDECFD-D03D-4F67-AF98-5880B6A0E285}"/>
            </a:ext>
          </a:extLst>
        </xdr:cNvPr>
        <xdr:cNvSpPr/>
      </xdr:nvSpPr>
      <xdr:spPr>
        <a:xfrm>
          <a:off x="3468077" y="1665653"/>
          <a:ext cx="2198077" cy="654539"/>
        </a:xfrm>
        <a:prstGeom prst="flowChartAlternateProcess">
          <a:avLst/>
        </a:prstGeom>
        <a:solidFill>
          <a:schemeClr val="accent5">
            <a:lumMod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6D0A847D-7F5E-4CEA-BFBE-C67BC7B70BD2}" type="TxLink">
            <a:rPr lang="en-US" sz="1100" b="0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t> ₹ 2,430 </a:t>
          </a:fld>
          <a:endParaRPr lang="en-US" sz="1100" b="0" i="0" u="none" strike="noStrike">
            <a:solidFill>
              <a:srgbClr val="20376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464038</xdr:colOff>
      <xdr:row>8</xdr:row>
      <xdr:rowOff>87922</xdr:rowOff>
    </xdr:from>
    <xdr:to>
      <xdr:col>8</xdr:col>
      <xdr:colOff>547078</xdr:colOff>
      <xdr:row>9</xdr:row>
      <xdr:rowOff>107461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436617-5D32-4A29-F805-6D231D603BD5}"/>
            </a:ext>
          </a:extLst>
        </xdr:cNvPr>
        <xdr:cNvSpPr txBox="1"/>
      </xdr:nvSpPr>
      <xdr:spPr>
        <a:xfrm>
          <a:off x="3516923" y="1743807"/>
          <a:ext cx="1914770" cy="205154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Current Market Price</a:t>
          </a:r>
        </a:p>
      </xdr:txBody>
    </xdr:sp>
    <xdr:clientData/>
  </xdr:twoCellAnchor>
  <xdr:twoCellAnchor>
    <xdr:from>
      <xdr:col>1</xdr:col>
      <xdr:colOff>9769</xdr:colOff>
      <xdr:row>13</xdr:row>
      <xdr:rowOff>0</xdr:rowOff>
    </xdr:from>
    <xdr:to>
      <xdr:col>4</xdr:col>
      <xdr:colOff>312615</xdr:colOff>
      <xdr:row>16</xdr:row>
      <xdr:rowOff>97693</xdr:rowOff>
    </xdr:to>
    <xdr:sp macro="" textlink="I6">
      <xdr:nvSpPr>
        <xdr:cNvPr id="13" name="Flowchart: Alternate Process 12">
          <a:extLst>
            <a:ext uri="{FF2B5EF4-FFF2-40B4-BE49-F238E27FC236}">
              <a16:creationId xmlns:a16="http://schemas.microsoft.com/office/drawing/2014/main" id="{0B6A295E-F7E1-49A4-9239-D76909530773}"/>
            </a:ext>
          </a:extLst>
        </xdr:cNvPr>
        <xdr:cNvSpPr/>
      </xdr:nvSpPr>
      <xdr:spPr>
        <a:xfrm>
          <a:off x="620346" y="2583962"/>
          <a:ext cx="2134577" cy="654539"/>
        </a:xfrm>
        <a:prstGeom prst="flowChartAlternateProcess">
          <a:avLst/>
        </a:prstGeom>
        <a:solidFill>
          <a:schemeClr val="accent5">
            <a:lumMod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029CF0CB-3D4A-4A46-B3D1-3047C44D45E6}" type="TxLink">
            <a:rPr lang="en-US" sz="1100" b="0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t>-75%</a:t>
          </a:fld>
          <a:endParaRPr lang="en-US" sz="1100" b="1" i="0" u="none" strike="noStrike">
            <a:solidFill>
              <a:srgbClr val="20376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68385</xdr:colOff>
      <xdr:row>13</xdr:row>
      <xdr:rowOff>117230</xdr:rowOff>
    </xdr:from>
    <xdr:to>
      <xdr:col>4</xdr:col>
      <xdr:colOff>48846</xdr:colOff>
      <xdr:row>14</xdr:row>
      <xdr:rowOff>170961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BAFD4AC-203A-3EF4-6C5A-1C34AC619699}"/>
            </a:ext>
          </a:extLst>
        </xdr:cNvPr>
        <xdr:cNvSpPr txBox="1"/>
      </xdr:nvSpPr>
      <xdr:spPr>
        <a:xfrm>
          <a:off x="678962" y="2701192"/>
          <a:ext cx="1812192" cy="239346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Upside/Downside</a:t>
          </a:r>
        </a:p>
      </xdr:txBody>
    </xdr:sp>
    <xdr:clientData/>
  </xdr:twoCellAnchor>
  <xdr:twoCellAnchor>
    <xdr:from>
      <xdr:col>1</xdr:col>
      <xdr:colOff>420076</xdr:colOff>
      <xdr:row>14</xdr:row>
      <xdr:rowOff>180732</xdr:rowOff>
    </xdr:from>
    <xdr:to>
      <xdr:col>3</xdr:col>
      <xdr:colOff>131884</xdr:colOff>
      <xdr:row>16</xdr:row>
      <xdr:rowOff>29309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61A8DE9-2AB1-C34F-B40C-A6850A887029}"/>
            </a:ext>
          </a:extLst>
        </xdr:cNvPr>
        <xdr:cNvSpPr txBox="1"/>
      </xdr:nvSpPr>
      <xdr:spPr>
        <a:xfrm>
          <a:off x="1030653" y="2950309"/>
          <a:ext cx="932962" cy="219808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>
              <a:solidFill>
                <a:schemeClr val="accent2">
                  <a:lumMod val="75000"/>
                </a:schemeClr>
              </a:solidFill>
            </a:rPr>
            <a:t>(overvalued)</a:t>
          </a:r>
        </a:p>
      </xdr:txBody>
    </xdr:sp>
    <xdr:clientData/>
  </xdr:twoCellAnchor>
  <xdr:twoCellAnchor>
    <xdr:from>
      <xdr:col>5</xdr:col>
      <xdr:colOff>449384</xdr:colOff>
      <xdr:row>13</xdr:row>
      <xdr:rowOff>0</xdr:rowOff>
    </xdr:from>
    <xdr:to>
      <xdr:col>9</xdr:col>
      <xdr:colOff>58616</xdr:colOff>
      <xdr:row>16</xdr:row>
      <xdr:rowOff>97693</xdr:rowOff>
    </xdr:to>
    <xdr:sp macro="" textlink="">
      <xdr:nvSpPr>
        <xdr:cNvPr id="16" name="Flowchart: Alternate Process 15">
          <a:extLst>
            <a:ext uri="{FF2B5EF4-FFF2-40B4-BE49-F238E27FC236}">
              <a16:creationId xmlns:a16="http://schemas.microsoft.com/office/drawing/2014/main" id="{0B102ED5-A0FC-4D4E-A573-5CA0EA5C93A4}"/>
            </a:ext>
          </a:extLst>
        </xdr:cNvPr>
        <xdr:cNvSpPr/>
      </xdr:nvSpPr>
      <xdr:spPr>
        <a:xfrm>
          <a:off x="3502269" y="2583962"/>
          <a:ext cx="2178539" cy="654539"/>
        </a:xfrm>
        <a:prstGeom prst="flowChartAlternateProcess">
          <a:avLst/>
        </a:prstGeom>
        <a:solidFill>
          <a:schemeClr val="accent5">
            <a:lumMod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100" b="0" i="0" u="none" strike="noStrike">
            <a:solidFill>
              <a:srgbClr val="20376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556846</xdr:colOff>
      <xdr:row>13</xdr:row>
      <xdr:rowOff>141653</xdr:rowOff>
    </xdr:from>
    <xdr:to>
      <xdr:col>8</xdr:col>
      <xdr:colOff>522654</xdr:colOff>
      <xdr:row>15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2925A87-61C7-A3C5-9334-78ED96D25EF8}"/>
            </a:ext>
          </a:extLst>
        </xdr:cNvPr>
        <xdr:cNvSpPr txBox="1"/>
      </xdr:nvSpPr>
      <xdr:spPr>
        <a:xfrm>
          <a:off x="3609731" y="2725615"/>
          <a:ext cx="1797538" cy="31750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Model Date : May 2026</a:t>
          </a:r>
        </a:p>
      </xdr:txBody>
    </xdr:sp>
    <xdr:clientData/>
  </xdr:twoCellAnchor>
  <xdr:twoCellAnchor editAs="oneCell">
    <xdr:from>
      <xdr:col>3</xdr:col>
      <xdr:colOff>327269</xdr:colOff>
      <xdr:row>8</xdr:row>
      <xdr:rowOff>53730</xdr:rowOff>
    </xdr:from>
    <xdr:to>
      <xdr:col>4</xdr:col>
      <xdr:colOff>48846</xdr:colOff>
      <xdr:row>10</xdr:row>
      <xdr:rowOff>14654</xdr:rowOff>
    </xdr:to>
    <xdr:pic>
      <xdr:nvPicPr>
        <xdr:cNvPr id="19" name="Graphic 18" descr="Bullseye">
          <a:extLst>
            <a:ext uri="{FF2B5EF4-FFF2-40B4-BE49-F238E27FC236}">
              <a16:creationId xmlns:a16="http://schemas.microsoft.com/office/drawing/2014/main" id="{F55141D0-0BE0-5378-DF10-40B271C6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59000" y="1709615"/>
          <a:ext cx="332154" cy="332154"/>
        </a:xfrm>
        <a:prstGeom prst="rect">
          <a:avLst/>
        </a:prstGeom>
      </xdr:spPr>
    </xdr:pic>
    <xdr:clientData/>
  </xdr:twoCellAnchor>
  <xdr:twoCellAnchor editAs="oneCell">
    <xdr:from>
      <xdr:col>8</xdr:col>
      <xdr:colOff>97692</xdr:colOff>
      <xdr:row>8</xdr:row>
      <xdr:rowOff>58616</xdr:rowOff>
    </xdr:from>
    <xdr:to>
      <xdr:col>8</xdr:col>
      <xdr:colOff>421053</xdr:colOff>
      <xdr:row>10</xdr:row>
      <xdr:rowOff>10747</xdr:rowOff>
    </xdr:to>
    <xdr:pic>
      <xdr:nvPicPr>
        <xdr:cNvPr id="21" name="Graphic 20" descr="Bar chart">
          <a:extLst>
            <a:ext uri="{FF2B5EF4-FFF2-40B4-BE49-F238E27FC236}">
              <a16:creationId xmlns:a16="http://schemas.microsoft.com/office/drawing/2014/main" id="{FC5DB872-6AF5-B6A1-9950-7673807D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82307" y="1714501"/>
          <a:ext cx="323361" cy="323361"/>
        </a:xfrm>
        <a:prstGeom prst="rect">
          <a:avLst/>
        </a:prstGeom>
      </xdr:spPr>
    </xdr:pic>
    <xdr:clientData/>
  </xdr:twoCellAnchor>
  <xdr:twoCellAnchor editAs="oneCell">
    <xdr:from>
      <xdr:col>3</xdr:col>
      <xdr:colOff>347784</xdr:colOff>
      <xdr:row>13</xdr:row>
      <xdr:rowOff>53730</xdr:rowOff>
    </xdr:from>
    <xdr:to>
      <xdr:col>4</xdr:col>
      <xdr:colOff>84015</xdr:colOff>
      <xdr:row>15</xdr:row>
      <xdr:rowOff>29308</xdr:rowOff>
    </xdr:to>
    <xdr:pic>
      <xdr:nvPicPr>
        <xdr:cNvPr id="23" name="Graphic 22" descr="Upward trend">
          <a:extLst>
            <a:ext uri="{FF2B5EF4-FFF2-40B4-BE49-F238E27FC236}">
              <a16:creationId xmlns:a16="http://schemas.microsoft.com/office/drawing/2014/main" id="{20EEEB4C-634A-4EDD-ADBA-B05E319CD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179515" y="2637692"/>
          <a:ext cx="346808" cy="346808"/>
        </a:xfrm>
        <a:prstGeom prst="rect">
          <a:avLst/>
        </a:prstGeom>
      </xdr:spPr>
    </xdr:pic>
    <xdr:clientData/>
  </xdr:twoCellAnchor>
  <xdr:twoCellAnchor editAs="oneCell">
    <xdr:from>
      <xdr:col>8</xdr:col>
      <xdr:colOff>219808</xdr:colOff>
      <xdr:row>13</xdr:row>
      <xdr:rowOff>122115</xdr:rowOff>
    </xdr:from>
    <xdr:to>
      <xdr:col>8</xdr:col>
      <xdr:colOff>548054</xdr:colOff>
      <xdr:row>15</xdr:row>
      <xdr:rowOff>79131</xdr:rowOff>
    </xdr:to>
    <xdr:pic>
      <xdr:nvPicPr>
        <xdr:cNvPr id="25" name="Graphic 24" descr="Daily calendar">
          <a:extLst>
            <a:ext uri="{FF2B5EF4-FFF2-40B4-BE49-F238E27FC236}">
              <a16:creationId xmlns:a16="http://schemas.microsoft.com/office/drawing/2014/main" id="{FA8D4635-05A9-CAC5-F18C-DFCFE9E91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104423" y="2706077"/>
          <a:ext cx="328246" cy="328246"/>
        </a:xfrm>
        <a:prstGeom prst="rect">
          <a:avLst/>
        </a:prstGeom>
      </xdr:spPr>
    </xdr:pic>
    <xdr:clientData/>
  </xdr:twoCellAnchor>
  <xdr:twoCellAnchor>
    <xdr:from>
      <xdr:col>0</xdr:col>
      <xdr:colOff>605693</xdr:colOff>
      <xdr:row>18</xdr:row>
      <xdr:rowOff>63499</xdr:rowOff>
    </xdr:from>
    <xdr:to>
      <xdr:col>9</xdr:col>
      <xdr:colOff>92809</xdr:colOff>
      <xdr:row>24</xdr:row>
      <xdr:rowOff>43961</xdr:rowOff>
    </xdr:to>
    <xdr:sp macro="" textlink="">
      <xdr:nvSpPr>
        <xdr:cNvPr id="26" name="Flowchart: Alternate Process 25">
          <a:extLst>
            <a:ext uri="{FF2B5EF4-FFF2-40B4-BE49-F238E27FC236}">
              <a16:creationId xmlns:a16="http://schemas.microsoft.com/office/drawing/2014/main" id="{2A7B66CE-3736-419B-999B-9D73B8E5BE1B}"/>
            </a:ext>
          </a:extLst>
        </xdr:cNvPr>
        <xdr:cNvSpPr/>
      </xdr:nvSpPr>
      <xdr:spPr>
        <a:xfrm>
          <a:off x="605693" y="3575537"/>
          <a:ext cx="5109308" cy="1094155"/>
        </a:xfrm>
        <a:prstGeom prst="flowChartAlternateProcess">
          <a:avLst/>
        </a:prstGeom>
        <a:solidFill>
          <a:schemeClr val="accent5">
            <a:lumMod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100" b="0" i="0" u="none" strike="noStrike">
            <a:solidFill>
              <a:srgbClr val="20376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122115</xdr:colOff>
      <xdr:row>18</xdr:row>
      <xdr:rowOff>136771</xdr:rowOff>
    </xdr:from>
    <xdr:to>
      <xdr:col>8</xdr:col>
      <xdr:colOff>688731</xdr:colOff>
      <xdr:row>23</xdr:row>
      <xdr:rowOff>161194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70E31D2-308B-1E99-796A-AA9B983C355A}"/>
            </a:ext>
          </a:extLst>
        </xdr:cNvPr>
        <xdr:cNvSpPr txBox="1"/>
      </xdr:nvSpPr>
      <xdr:spPr>
        <a:xfrm>
          <a:off x="732692" y="3648809"/>
          <a:ext cx="4840654" cy="95250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solidFill>
                <a:schemeClr val="accent1">
                  <a:lumMod val="40000"/>
                  <a:lumOff val="60000"/>
                </a:schemeClr>
              </a:solidFill>
            </a:rPr>
            <a:t>Investment Thesis</a:t>
          </a:r>
        </a:p>
        <a:p>
          <a:r>
            <a:rPr lang="en-US">
              <a:solidFill>
                <a:schemeClr val="bg1"/>
              </a:solidFill>
            </a:rPr>
            <a:t>Asian Paints is India's dominant paint company with an 80-year operating history and 70,000+ dealer network. Despite strong fundamentals, the stock trades at a structural premium to DCF intrinsic value — reflecting the market's pricing of its brand moat. Key risk: Birla Opus entry pressuring volumes and margins.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4</xdr:col>
      <xdr:colOff>508000</xdr:colOff>
      <xdr:row>26</xdr:row>
      <xdr:rowOff>43961</xdr:rowOff>
    </xdr:to>
    <xdr:sp macro="" textlink="">
      <xdr:nvSpPr>
        <xdr:cNvPr id="28" name="Flowchart: Alternate Process 27">
          <a:extLst>
            <a:ext uri="{FF2B5EF4-FFF2-40B4-BE49-F238E27FC236}">
              <a16:creationId xmlns:a16="http://schemas.microsoft.com/office/drawing/2014/main" id="{60800B2F-5FFE-4612-B8FA-594891987A3B}"/>
            </a:ext>
          </a:extLst>
        </xdr:cNvPr>
        <xdr:cNvSpPr/>
      </xdr:nvSpPr>
      <xdr:spPr>
        <a:xfrm>
          <a:off x="610577" y="4811346"/>
          <a:ext cx="2339731" cy="229577"/>
        </a:xfrm>
        <a:prstGeom prst="flowChartAlternateProcess">
          <a:avLst/>
        </a:prstGeom>
        <a:solidFill>
          <a:schemeClr val="accent5">
            <a:lumMod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0" u="none" strike="noStrike">
              <a:solidFill>
                <a:schemeClr val="accent1">
                  <a:lumMod val="40000"/>
                  <a:lumOff val="60000"/>
                </a:schemeClr>
              </a:solidFill>
              <a:latin typeface="Calibri"/>
              <a:ea typeface="Calibri"/>
              <a:cs typeface="Calibri"/>
            </a:rPr>
            <a:t>Model built by : Satarupa Mukherjee</a:t>
          </a:r>
        </a:p>
      </xdr:txBody>
    </xdr:sp>
    <xdr:clientData/>
  </xdr:twoCellAnchor>
  <xdr:twoCellAnchor>
    <xdr:from>
      <xdr:col>5</xdr:col>
      <xdr:colOff>161193</xdr:colOff>
      <xdr:row>25</xdr:row>
      <xdr:rowOff>0</xdr:rowOff>
    </xdr:from>
    <xdr:to>
      <xdr:col>9</xdr:col>
      <xdr:colOff>83040</xdr:colOff>
      <xdr:row>26</xdr:row>
      <xdr:rowOff>43961</xdr:rowOff>
    </xdr:to>
    <xdr:sp macro="" textlink="">
      <xdr:nvSpPr>
        <xdr:cNvPr id="29" name="Flowchart: Alternate Process 28">
          <a:extLst>
            <a:ext uri="{FF2B5EF4-FFF2-40B4-BE49-F238E27FC236}">
              <a16:creationId xmlns:a16="http://schemas.microsoft.com/office/drawing/2014/main" id="{030C50FF-B670-49A2-9554-FB88B69E6AF4}"/>
            </a:ext>
          </a:extLst>
        </xdr:cNvPr>
        <xdr:cNvSpPr/>
      </xdr:nvSpPr>
      <xdr:spPr>
        <a:xfrm>
          <a:off x="3214078" y="4811346"/>
          <a:ext cx="2491154" cy="229577"/>
        </a:xfrm>
        <a:prstGeom prst="flowChartAlternateProcess">
          <a:avLst/>
        </a:prstGeom>
        <a:solidFill>
          <a:schemeClr val="accent5">
            <a:lumMod val="5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0" i="0">
              <a:solidFill>
                <a:schemeClr val="accent1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Data: Screener.in, BSE Annual Reports</a:t>
          </a:r>
          <a:endParaRPr lang="en-US" sz="1100" b="0" i="0" u="none" strike="noStrike">
            <a:solidFill>
              <a:schemeClr val="accent1">
                <a:lumMod val="40000"/>
                <a:lumOff val="6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9770</xdr:rowOff>
    </xdr:from>
    <xdr:to>
      <xdr:col>15</xdr:col>
      <xdr:colOff>9769</xdr:colOff>
      <xdr:row>9</xdr:row>
      <xdr:rowOff>180731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6C7007-AFBA-2818-F344-57DAF5B2D7AD}"/>
            </a:ext>
          </a:extLst>
        </xdr:cNvPr>
        <xdr:cNvSpPr/>
      </xdr:nvSpPr>
      <xdr:spPr>
        <a:xfrm>
          <a:off x="6462346" y="615462"/>
          <a:ext cx="3062654" cy="128953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97692</xdr:colOff>
      <xdr:row>1</xdr:row>
      <xdr:rowOff>102576</xdr:rowOff>
    </xdr:from>
    <xdr:to>
      <xdr:col>4</xdr:col>
      <xdr:colOff>561731</xdr:colOff>
      <xdr:row>1</xdr:row>
      <xdr:rowOff>102576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B29DF56-DB97-C0AC-E054-68C0B24AD7B2}"/>
            </a:ext>
          </a:extLst>
        </xdr:cNvPr>
        <xdr:cNvCxnSpPr/>
      </xdr:nvCxnSpPr>
      <xdr:spPr>
        <a:xfrm>
          <a:off x="2271346" y="337038"/>
          <a:ext cx="4640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302846</xdr:colOff>
      <xdr:row>2</xdr:row>
      <xdr:rowOff>9769</xdr:rowOff>
    </xdr:from>
    <xdr:to>
      <xdr:col>4</xdr:col>
      <xdr:colOff>302846</xdr:colOff>
      <xdr:row>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08CE231-3144-D127-5928-F677CB41E96E}"/>
            </a:ext>
          </a:extLst>
        </xdr:cNvPr>
        <xdr:cNvCxnSpPr/>
      </xdr:nvCxnSpPr>
      <xdr:spPr>
        <a:xfrm>
          <a:off x="2476500" y="429846"/>
          <a:ext cx="0" cy="1758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24423</xdr:colOff>
      <xdr:row>9</xdr:row>
      <xdr:rowOff>180731</xdr:rowOff>
    </xdr:from>
    <xdr:to>
      <xdr:col>5</xdr:col>
      <xdr:colOff>595923</xdr:colOff>
      <xdr:row>16</xdr:row>
      <xdr:rowOff>14654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8BA60C6-8EAF-5810-D5C7-1C55A4D666DB}"/>
            </a:ext>
          </a:extLst>
        </xdr:cNvPr>
        <xdr:cNvSpPr txBox="1"/>
      </xdr:nvSpPr>
      <xdr:spPr>
        <a:xfrm>
          <a:off x="24423" y="1905000"/>
          <a:ext cx="3399692" cy="11332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Key Takeaway</a:t>
          </a:r>
          <a:r>
            <a:rPr lang="en-US"/>
            <a:t>: Even in the most bullish scenario (10% WACC, 7% terminal growth), intrinsic value of ₹1,950 is still 20% below the current market price of ₹2,430. Asian Paints trades at a structural premium to intrinsic value — justified by its brand moat and consistent capital allocation.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433916</xdr:colOff>
      <xdr:row>13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F8787-4CD2-48E4-BD8B-A920A3426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10582</xdr:colOff>
      <xdr:row>14</xdr:row>
      <xdr:rowOff>5292</xdr:rowOff>
    </xdr:from>
    <xdr:to>
      <xdr:col>7</xdr:col>
      <xdr:colOff>439208</xdr:colOff>
      <xdr:row>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46803-97E3-46FD-AC2B-8D2442D84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A26E-DEC4-4F46-BE0E-FF794330FBAA}">
  <dimension ref="B3:I15"/>
  <sheetViews>
    <sheetView topLeftCell="A13" zoomScale="130" zoomScaleNormal="130" workbookViewId="0">
      <selection activeCell="L25" sqref="L25"/>
    </sheetView>
  </sheetViews>
  <sheetFormatPr defaultRowHeight="14.5" x14ac:dyDescent="0.35"/>
  <cols>
    <col min="1" max="8" width="8.7265625" style="112"/>
    <col min="9" max="9" width="10.54296875" style="112" bestFit="1" customWidth="1"/>
    <col min="10" max="16384" width="8.7265625" style="112"/>
  </cols>
  <sheetData>
    <row r="3" spans="2:9" x14ac:dyDescent="0.35">
      <c r="B3" s="114" t="s">
        <v>97</v>
      </c>
      <c r="C3" s="114"/>
      <c r="D3" s="114"/>
      <c r="E3" s="114"/>
      <c r="F3" s="114"/>
      <c r="G3" s="114"/>
    </row>
    <row r="4" spans="2:9" x14ac:dyDescent="0.35">
      <c r="I4" s="119">
        <f>'Discounted Cash Flow'!B31</f>
        <v>2430</v>
      </c>
    </row>
    <row r="5" spans="2:9" ht="28" x14ac:dyDescent="0.35">
      <c r="B5" s="116" t="s">
        <v>98</v>
      </c>
      <c r="C5" s="116"/>
      <c r="D5" s="116"/>
      <c r="E5" s="116"/>
      <c r="F5" s="116"/>
      <c r="G5" s="116"/>
    </row>
    <row r="6" spans="2:9" x14ac:dyDescent="0.35">
      <c r="B6" s="115" t="s">
        <v>99</v>
      </c>
      <c r="C6" s="115"/>
      <c r="D6" s="115"/>
      <c r="E6" s="115"/>
      <c r="F6" s="115"/>
      <c r="G6" s="115"/>
      <c r="I6" s="120">
        <f>'Discounted Cash Flow'!B32</f>
        <v>-0.75404099727211082</v>
      </c>
    </row>
    <row r="10" spans="2:9" x14ac:dyDescent="0.35">
      <c r="G10" s="118">
        <f>'Discounted Cash Flow'!B30</f>
        <v>597.68037662877077</v>
      </c>
    </row>
    <row r="11" spans="2:9" x14ac:dyDescent="0.35">
      <c r="E11" s="117"/>
    </row>
    <row r="15" spans="2:9" x14ac:dyDescent="0.35">
      <c r="B15" s="113"/>
      <c r="C15" s="113"/>
      <c r="D15" s="113"/>
      <c r="E15" s="113"/>
    </row>
  </sheetData>
  <mergeCells count="3">
    <mergeCell ref="B6:G6"/>
    <mergeCell ref="B5:G5"/>
    <mergeCell ref="B3:G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969C-FCC2-4442-B77A-E2C0CD98981A}">
  <dimension ref="A1:H19"/>
  <sheetViews>
    <sheetView zoomScale="130" zoomScaleNormal="130" workbookViewId="0">
      <selection activeCell="G8" sqref="G8"/>
    </sheetView>
  </sheetViews>
  <sheetFormatPr defaultRowHeight="14.5" x14ac:dyDescent="0.35"/>
  <cols>
    <col min="1" max="1" width="26.36328125" customWidth="1"/>
    <col min="2" max="3" width="11.6328125" bestFit="1" customWidth="1"/>
    <col min="4" max="5" width="10.08984375" bestFit="1" customWidth="1"/>
  </cols>
  <sheetData>
    <row r="1" spans="1:8" ht="18.5" x14ac:dyDescent="0.45">
      <c r="A1" s="87" t="s">
        <v>17</v>
      </c>
      <c r="B1" s="93"/>
      <c r="C1" s="93"/>
      <c r="D1" s="93"/>
      <c r="E1" s="94"/>
    </row>
    <row r="2" spans="1:8" x14ac:dyDescent="0.35">
      <c r="A2" s="27" t="s">
        <v>43</v>
      </c>
      <c r="B2" s="28" t="s">
        <v>89</v>
      </c>
      <c r="C2" s="28" t="s">
        <v>90</v>
      </c>
      <c r="D2" s="28" t="s">
        <v>91</v>
      </c>
      <c r="E2" s="29" t="s">
        <v>92</v>
      </c>
      <c r="G2" s="91" t="str">
        <f>HYPERLINK("https://www.screener.in/company/ASIANPAINT/consolidated/", "Source: Screener")</f>
        <v>Source: Screener</v>
      </c>
      <c r="H2" s="92"/>
    </row>
    <row r="3" spans="1:8" x14ac:dyDescent="0.35">
      <c r="A3" s="39" t="s">
        <v>7</v>
      </c>
      <c r="B3" s="2">
        <v>34489</v>
      </c>
      <c r="C3" s="2">
        <v>35495</v>
      </c>
      <c r="D3" s="3">
        <f>C3*(1+D4)</f>
        <v>37269.75</v>
      </c>
      <c r="E3" s="4">
        <f>D3*(1+E4)</f>
        <v>39878.6325</v>
      </c>
    </row>
    <row r="4" spans="1:8" x14ac:dyDescent="0.35">
      <c r="A4" s="39" t="s">
        <v>3</v>
      </c>
      <c r="B4" s="5">
        <v>0.186</v>
      </c>
      <c r="C4" s="5">
        <v>2.9000000000000001E-2</v>
      </c>
      <c r="D4" s="5">
        <v>0.05</v>
      </c>
      <c r="E4" s="6">
        <v>7.0000000000000007E-2</v>
      </c>
    </row>
    <row r="5" spans="1:8" x14ac:dyDescent="0.35">
      <c r="A5" s="39" t="s">
        <v>8</v>
      </c>
      <c r="B5" s="7">
        <v>0.18</v>
      </c>
      <c r="C5" s="7">
        <v>0.21</v>
      </c>
      <c r="D5" s="7">
        <v>0.19</v>
      </c>
      <c r="E5" s="8">
        <v>0.19</v>
      </c>
    </row>
    <row r="6" spans="1:8" x14ac:dyDescent="0.35">
      <c r="A6" s="39" t="s">
        <v>4</v>
      </c>
      <c r="B6" s="9">
        <v>0.26</v>
      </c>
      <c r="C6" s="9">
        <v>0.24</v>
      </c>
      <c r="D6" s="9">
        <v>0.26</v>
      </c>
      <c r="E6" s="10">
        <v>0.26</v>
      </c>
    </row>
    <row r="7" spans="1:8" x14ac:dyDescent="0.35">
      <c r="A7" s="39" t="s">
        <v>9</v>
      </c>
      <c r="B7" s="11">
        <v>858</v>
      </c>
      <c r="C7" s="11">
        <v>853</v>
      </c>
      <c r="D7" s="2">
        <v>1026</v>
      </c>
      <c r="E7" s="12">
        <v>1100</v>
      </c>
    </row>
    <row r="8" spans="1:8" x14ac:dyDescent="0.35">
      <c r="A8" s="39" t="s">
        <v>10</v>
      </c>
      <c r="B8" s="13">
        <v>1282</v>
      </c>
      <c r="C8" s="13">
        <v>2548</v>
      </c>
      <c r="D8" s="13">
        <v>941</v>
      </c>
      <c r="E8" s="14">
        <v>1200</v>
      </c>
    </row>
    <row r="9" spans="1:8" x14ac:dyDescent="0.35">
      <c r="A9" s="39" t="s">
        <v>19</v>
      </c>
      <c r="B9" s="11">
        <v>144</v>
      </c>
      <c r="C9" s="11">
        <v>205</v>
      </c>
      <c r="D9" s="11">
        <v>227</v>
      </c>
      <c r="E9" s="15">
        <v>230</v>
      </c>
    </row>
    <row r="10" spans="1:8" x14ac:dyDescent="0.35">
      <c r="A10" s="39" t="s">
        <v>11</v>
      </c>
      <c r="B10" s="16">
        <v>49</v>
      </c>
      <c r="C10" s="16">
        <v>50</v>
      </c>
      <c r="D10" s="16">
        <v>46</v>
      </c>
      <c r="E10" s="17">
        <v>46</v>
      </c>
    </row>
    <row r="11" spans="1:8" x14ac:dyDescent="0.35">
      <c r="A11" s="39" t="s">
        <v>12</v>
      </c>
      <c r="B11" s="11">
        <v>121</v>
      </c>
      <c r="C11" s="11">
        <v>122</v>
      </c>
      <c r="D11" s="11">
        <v>142</v>
      </c>
      <c r="E11" s="15">
        <v>135</v>
      </c>
    </row>
    <row r="12" spans="1:8" x14ac:dyDescent="0.35">
      <c r="A12" s="39" t="s">
        <v>13</v>
      </c>
      <c r="B12" s="16">
        <v>71</v>
      </c>
      <c r="C12" s="16">
        <v>79</v>
      </c>
      <c r="D12" s="16">
        <v>81</v>
      </c>
      <c r="E12" s="17">
        <v>80</v>
      </c>
    </row>
    <row r="13" spans="1:8" ht="15" thickBot="1" x14ac:dyDescent="0.4">
      <c r="A13" s="40" t="s">
        <v>18</v>
      </c>
      <c r="B13" s="18">
        <v>2513</v>
      </c>
      <c r="C13" s="18">
        <v>3224</v>
      </c>
      <c r="D13" s="18">
        <v>2411</v>
      </c>
      <c r="E13" s="19">
        <v>2500</v>
      </c>
    </row>
    <row r="17" spans="1:5" x14ac:dyDescent="0.35">
      <c r="A17" s="90" t="s">
        <v>5</v>
      </c>
      <c r="B17" s="90"/>
      <c r="C17" s="90"/>
      <c r="D17" s="90"/>
      <c r="E17" s="90"/>
    </row>
    <row r="18" spans="1:5" x14ac:dyDescent="0.35">
      <c r="A18" s="1" t="s">
        <v>14</v>
      </c>
      <c r="B18" s="1"/>
      <c r="C18" s="1"/>
      <c r="D18" s="1"/>
      <c r="E18" s="1"/>
    </row>
    <row r="19" spans="1:5" x14ac:dyDescent="0.35">
      <c r="A19" s="1" t="s">
        <v>16</v>
      </c>
    </row>
  </sheetData>
  <mergeCells count="3">
    <mergeCell ref="A17:E17"/>
    <mergeCell ref="G2:H2"/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5F83-7337-4359-B2F7-69D97D791ED1}">
  <dimension ref="A1:I16"/>
  <sheetViews>
    <sheetView zoomScale="130" zoomScaleNormal="130" workbookViewId="0">
      <selection activeCell="A4" activeCellId="1" sqref="A3:E3 A4:E4"/>
    </sheetView>
  </sheetViews>
  <sheetFormatPr defaultRowHeight="14.5" x14ac:dyDescent="0.35"/>
  <cols>
    <col min="1" max="1" width="26.36328125" customWidth="1"/>
    <col min="2" max="3" width="11.6328125" bestFit="1" customWidth="1"/>
    <col min="4" max="5" width="10.08984375" bestFit="1" customWidth="1"/>
  </cols>
  <sheetData>
    <row r="1" spans="1:9" ht="18.5" x14ac:dyDescent="0.45">
      <c r="A1" s="87" t="s">
        <v>17</v>
      </c>
      <c r="B1" s="95"/>
      <c r="C1" s="95"/>
      <c r="D1" s="95"/>
      <c r="E1" s="96"/>
    </row>
    <row r="2" spans="1:9" x14ac:dyDescent="0.35">
      <c r="A2" s="20" t="s">
        <v>43</v>
      </c>
      <c r="B2" s="21" t="s">
        <v>89</v>
      </c>
      <c r="C2" s="21" t="s">
        <v>90</v>
      </c>
      <c r="D2" s="21" t="s">
        <v>91</v>
      </c>
      <c r="E2" s="22" t="s">
        <v>92</v>
      </c>
      <c r="G2" s="92" t="str">
        <f>HYPERLINK("https://www.screener.in/company/ASIANPAINT/consolidated/", "Source: Screener")</f>
        <v>Source: Screener</v>
      </c>
      <c r="H2" s="92"/>
    </row>
    <row r="3" spans="1:9" ht="15" thickBot="1" x14ac:dyDescent="0.4">
      <c r="A3" s="39" t="s">
        <v>7</v>
      </c>
      <c r="B3" s="2">
        <f>Assumptions!B3</f>
        <v>34489</v>
      </c>
      <c r="C3" s="2">
        <f>Assumptions!C3</f>
        <v>35495</v>
      </c>
      <c r="D3" s="2">
        <f>Assumptions!D3</f>
        <v>37269.75</v>
      </c>
      <c r="E3" s="12">
        <f>Assumptions!E3</f>
        <v>39878.6325</v>
      </c>
    </row>
    <row r="4" spans="1:9" x14ac:dyDescent="0.35">
      <c r="A4" s="39" t="s">
        <v>20</v>
      </c>
      <c r="B4" s="23">
        <f>B3*Assumptions!B5</f>
        <v>6208.0199999999995</v>
      </c>
      <c r="C4" s="23">
        <f>C3*Assumptions!C5</f>
        <v>7453.95</v>
      </c>
      <c r="D4" s="23">
        <f>D3*Assumptions!D5</f>
        <v>7081.2525000000005</v>
      </c>
      <c r="E4" s="24">
        <f>E3*Assumptions!E5</f>
        <v>7576.9401749999997</v>
      </c>
      <c r="G4" s="30" t="s">
        <v>25</v>
      </c>
      <c r="H4" s="31"/>
      <c r="I4" s="32"/>
    </row>
    <row r="5" spans="1:9" x14ac:dyDescent="0.35">
      <c r="A5" s="39" t="s">
        <v>9</v>
      </c>
      <c r="B5" s="13">
        <f>Assumptions!B7</f>
        <v>858</v>
      </c>
      <c r="C5" s="13">
        <f>Assumptions!C7</f>
        <v>853</v>
      </c>
      <c r="D5" s="13">
        <f>Assumptions!D7</f>
        <v>1026</v>
      </c>
      <c r="E5" s="14">
        <f>Assumptions!E7</f>
        <v>1100</v>
      </c>
      <c r="G5" s="33"/>
      <c r="H5" s="34"/>
      <c r="I5" s="35"/>
    </row>
    <row r="6" spans="1:9" x14ac:dyDescent="0.35">
      <c r="A6" s="39" t="s">
        <v>21</v>
      </c>
      <c r="B6" s="23">
        <f>B4 - B5</f>
        <v>5350.0199999999995</v>
      </c>
      <c r="C6" s="23">
        <f t="shared" ref="C6:E6" si="0">C4 - C5</f>
        <v>6600.95</v>
      </c>
      <c r="D6" s="23">
        <f t="shared" si="0"/>
        <v>6055.2525000000005</v>
      </c>
      <c r="E6" s="24">
        <f t="shared" si="0"/>
        <v>6476.9401749999997</v>
      </c>
      <c r="G6" s="33" t="s">
        <v>26</v>
      </c>
      <c r="H6" s="34"/>
      <c r="I6" s="35"/>
    </row>
    <row r="7" spans="1:9" x14ac:dyDescent="0.35">
      <c r="A7" s="39" t="s">
        <v>19</v>
      </c>
      <c r="B7" s="11">
        <f>Assumptions!B9</f>
        <v>144</v>
      </c>
      <c r="C7" s="11">
        <f>Assumptions!C9</f>
        <v>205</v>
      </c>
      <c r="D7" s="11">
        <f>Assumptions!D9</f>
        <v>227</v>
      </c>
      <c r="E7" s="15">
        <f>Assumptions!E9</f>
        <v>230</v>
      </c>
      <c r="G7" s="33"/>
      <c r="H7" s="34"/>
      <c r="I7" s="35"/>
    </row>
    <row r="8" spans="1:9" x14ac:dyDescent="0.35">
      <c r="A8" s="39" t="s">
        <v>22</v>
      </c>
      <c r="B8" s="23">
        <f xml:space="preserve"> B6-B7</f>
        <v>5206.0199999999995</v>
      </c>
      <c r="C8" s="23">
        <f t="shared" ref="C8:E8" si="1" xml:space="preserve"> C6-C7</f>
        <v>6395.95</v>
      </c>
      <c r="D8" s="23">
        <f t="shared" si="1"/>
        <v>5828.2525000000005</v>
      </c>
      <c r="E8" s="24">
        <f t="shared" si="1"/>
        <v>6246.9401749999997</v>
      </c>
      <c r="G8" s="33" t="s">
        <v>27</v>
      </c>
      <c r="H8" s="34"/>
      <c r="I8" s="35"/>
    </row>
    <row r="9" spans="1:9" x14ac:dyDescent="0.35">
      <c r="A9" s="39" t="s">
        <v>23</v>
      </c>
      <c r="B9" s="23">
        <f xml:space="preserve"> B8 *Assumptions!B6</f>
        <v>1353.5652</v>
      </c>
      <c r="C9" s="23">
        <f xml:space="preserve"> C8 *Assumptions!C6</f>
        <v>1535.0279999999998</v>
      </c>
      <c r="D9" s="23">
        <f xml:space="preserve"> D8 *Assumptions!D6</f>
        <v>1515.3456500000002</v>
      </c>
      <c r="E9" s="24">
        <f xml:space="preserve"> E8 *Assumptions!E6</f>
        <v>1624.2044455</v>
      </c>
      <c r="G9" s="33" t="s">
        <v>28</v>
      </c>
      <c r="H9" s="34"/>
      <c r="I9" s="35"/>
    </row>
    <row r="10" spans="1:9" ht="15" thickBot="1" x14ac:dyDescent="0.4">
      <c r="A10" s="41" t="s">
        <v>24</v>
      </c>
      <c r="B10" s="25">
        <f>B8-B9</f>
        <v>3852.4547999999995</v>
      </c>
      <c r="C10" s="25">
        <f t="shared" ref="C10:E10" si="2">C8-C9</f>
        <v>4860.9220000000005</v>
      </c>
      <c r="D10" s="25">
        <f t="shared" si="2"/>
        <v>4312.9068500000003</v>
      </c>
      <c r="E10" s="26">
        <f t="shared" si="2"/>
        <v>4622.7357295000002</v>
      </c>
      <c r="G10" s="36" t="s">
        <v>29</v>
      </c>
      <c r="H10" s="37"/>
      <c r="I10" s="38"/>
    </row>
    <row r="14" spans="1:9" x14ac:dyDescent="0.35">
      <c r="A14" s="90" t="s">
        <v>6</v>
      </c>
      <c r="B14" s="90"/>
      <c r="C14" s="90"/>
      <c r="D14" s="90"/>
      <c r="E14" s="90"/>
    </row>
    <row r="15" spans="1:9" x14ac:dyDescent="0.35">
      <c r="A15" s="1" t="s">
        <v>15</v>
      </c>
      <c r="B15" s="1"/>
      <c r="C15" s="1"/>
      <c r="D15" s="1"/>
      <c r="E15" s="1"/>
    </row>
    <row r="16" spans="1:9" x14ac:dyDescent="0.35">
      <c r="A16" s="1" t="s">
        <v>16</v>
      </c>
    </row>
  </sheetData>
  <mergeCells count="3">
    <mergeCell ref="A14:E14"/>
    <mergeCell ref="G2:H2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4E60-4ED5-479B-A519-F10960378CC9}">
  <dimension ref="A1:H21"/>
  <sheetViews>
    <sheetView topLeftCell="A7" zoomScale="130" zoomScaleNormal="130" workbookViewId="0">
      <selection activeCell="A3" sqref="A3:E3"/>
    </sheetView>
  </sheetViews>
  <sheetFormatPr defaultRowHeight="14.5" x14ac:dyDescent="0.35"/>
  <cols>
    <col min="1" max="1" width="30.54296875" customWidth="1"/>
    <col min="2" max="3" width="11.6328125" bestFit="1" customWidth="1"/>
    <col min="4" max="5" width="10.08984375" bestFit="1" customWidth="1"/>
  </cols>
  <sheetData>
    <row r="1" spans="1:8" ht="18.5" x14ac:dyDescent="0.45">
      <c r="A1" s="97" t="s">
        <v>17</v>
      </c>
      <c r="B1" s="97"/>
      <c r="C1" s="97"/>
      <c r="D1" s="97"/>
      <c r="E1" s="97"/>
    </row>
    <row r="2" spans="1:8" x14ac:dyDescent="0.35">
      <c r="A2" s="28" t="s">
        <v>43</v>
      </c>
      <c r="B2" s="28" t="s">
        <v>89</v>
      </c>
      <c r="C2" s="28" t="s">
        <v>90</v>
      </c>
      <c r="D2" s="28" t="s">
        <v>91</v>
      </c>
      <c r="E2" s="28" t="s">
        <v>92</v>
      </c>
      <c r="G2" s="92" t="str">
        <f>HYPERLINK("https://www.screener.in/company/ASIANPAINT/consolidated/", "Source: Screener")</f>
        <v>Source: Screener</v>
      </c>
      <c r="H2" s="92"/>
    </row>
    <row r="3" spans="1:8" ht="15.5" x14ac:dyDescent="0.35">
      <c r="A3" s="98" t="s">
        <v>30</v>
      </c>
      <c r="B3" s="98"/>
      <c r="C3" s="98"/>
      <c r="D3" s="98"/>
      <c r="E3" s="98"/>
    </row>
    <row r="4" spans="1:8" x14ac:dyDescent="0.35">
      <c r="A4" s="44" t="s">
        <v>36</v>
      </c>
      <c r="B4" s="45">
        <v>3364</v>
      </c>
      <c r="C4" s="45">
        <v>3937</v>
      </c>
      <c r="D4" s="46">
        <f>'Cash Flow'!D19</f>
        <v>5599.9204047945204</v>
      </c>
      <c r="E4" s="46">
        <f>'Cash Flow'!E19</f>
        <v>7335.5769503904121</v>
      </c>
    </row>
    <row r="5" spans="1:8" x14ac:dyDescent="0.35">
      <c r="A5" s="44" t="s">
        <v>37</v>
      </c>
      <c r="B5" s="46">
        <f>'Income Statement'!B3*(Assumptions!B10/365)</f>
        <v>4630.0301369863018</v>
      </c>
      <c r="C5" s="46">
        <f>'Income Statement'!C3*(Assumptions!C10/365)</f>
        <v>4862.3287671232874</v>
      </c>
      <c r="D5" s="46">
        <f>'Income Statement'!D3*(Assumptions!D10/365)</f>
        <v>4697.0095890410967</v>
      </c>
      <c r="E5" s="46">
        <f>'Income Statement'!E3*(Assumptions!E10/365)</f>
        <v>5025.8002602739725</v>
      </c>
    </row>
    <row r="6" spans="1:8" x14ac:dyDescent="0.35">
      <c r="A6" s="44" t="s">
        <v>38</v>
      </c>
      <c r="B6" s="46">
        <f>'Income Statement'!B4*(Assumptions!B11/365)</f>
        <v>2058.0011506849314</v>
      </c>
      <c r="C6" s="46">
        <f>'Income Statement'!C4*(Assumptions!C11/365)</f>
        <v>2491.4572602739727</v>
      </c>
      <c r="D6" s="46">
        <f>'Income Statement'!D4*(Assumptions!D11/365)</f>
        <v>2754.8982328767124</v>
      </c>
      <c r="E6" s="46">
        <f>'Income Statement'!E4*(Assumptions!E11/365)</f>
        <v>2802.4299277397258</v>
      </c>
    </row>
    <row r="7" spans="1:8" x14ac:dyDescent="0.35">
      <c r="A7" s="44" t="s">
        <v>39</v>
      </c>
      <c r="B7" s="47">
        <v>5770</v>
      </c>
      <c r="C7" s="47">
        <v>7147</v>
      </c>
      <c r="D7" s="43">
        <f>C7+Assumptions!D8-Assumptions!D7</f>
        <v>7062</v>
      </c>
      <c r="E7" s="43">
        <f>D7+Assumptions!E8-Assumptions!E7</f>
        <v>7162</v>
      </c>
    </row>
    <row r="8" spans="1:8" x14ac:dyDescent="0.35">
      <c r="A8" s="48" t="s">
        <v>40</v>
      </c>
      <c r="B8" s="49">
        <f>SUM(B4:B7)</f>
        <v>15822.031287671234</v>
      </c>
      <c r="C8" s="49">
        <f t="shared" ref="C8:E8" si="0">SUM(C4:C7)</f>
        <v>18437.786027397258</v>
      </c>
      <c r="D8" s="49">
        <f t="shared" si="0"/>
        <v>20113.828226712329</v>
      </c>
      <c r="E8" s="49">
        <f t="shared" si="0"/>
        <v>22325.80713840411</v>
      </c>
    </row>
    <row r="9" spans="1:8" ht="15.5" x14ac:dyDescent="0.35">
      <c r="A9" s="98" t="s">
        <v>31</v>
      </c>
      <c r="B9" s="98"/>
      <c r="C9" s="98"/>
      <c r="D9" s="98"/>
      <c r="E9" s="98"/>
    </row>
    <row r="10" spans="1:8" x14ac:dyDescent="0.35">
      <c r="A10" s="44" t="s">
        <v>34</v>
      </c>
      <c r="B10" s="46">
        <f>'Income Statement'!B4*(Assumptions!B12/365)</f>
        <v>1207.5874520547945</v>
      </c>
      <c r="C10" s="46">
        <f>'Income Statement'!C4*(Assumptions!C12/365)</f>
        <v>1613.3206849315068</v>
      </c>
      <c r="D10" s="46">
        <f>'Income Statement'!D4*(Assumptions!D12/365)</f>
        <v>1571.4560342465754</v>
      </c>
      <c r="E10" s="46">
        <f>'Income Statement'!E4*(Assumptions!E12/365)</f>
        <v>1660.699216438356</v>
      </c>
    </row>
    <row r="11" spans="1:8" x14ac:dyDescent="0.35">
      <c r="A11" s="44" t="s">
        <v>33</v>
      </c>
      <c r="B11" s="45">
        <v>1933</v>
      </c>
      <c r="C11" s="45">
        <v>2474</v>
      </c>
      <c r="D11" s="45">
        <v>2290</v>
      </c>
      <c r="E11" s="45">
        <v>2290</v>
      </c>
    </row>
    <row r="12" spans="1:8" x14ac:dyDescent="0.35">
      <c r="A12" s="44" t="s">
        <v>32</v>
      </c>
      <c r="B12" s="50">
        <v>96</v>
      </c>
      <c r="C12" s="50">
        <v>96</v>
      </c>
      <c r="D12" s="44">
        <f>C12</f>
        <v>96</v>
      </c>
      <c r="E12" s="44">
        <f>D12</f>
        <v>96</v>
      </c>
    </row>
    <row r="13" spans="1:8" x14ac:dyDescent="0.35">
      <c r="A13" s="44" t="s">
        <v>35</v>
      </c>
      <c r="B13" s="45">
        <v>15896</v>
      </c>
      <c r="C13" s="45">
        <v>18632</v>
      </c>
      <c r="D13" s="43">
        <f>C13+'Income Statement'!D10-Assumptions!D13</f>
        <v>20533.906849999999</v>
      </c>
      <c r="E13" s="43">
        <f>D13+'Income Statement'!E10-Assumptions!E13</f>
        <v>22656.6425795</v>
      </c>
    </row>
    <row r="14" spans="1:8" x14ac:dyDescent="0.35">
      <c r="A14" s="48" t="s">
        <v>41</v>
      </c>
      <c r="B14" s="49">
        <f>SUM(B10:B13)</f>
        <v>19132.587452054795</v>
      </c>
      <c r="C14" s="49">
        <f t="shared" ref="C14:E14" si="1">SUM(C10:C13)</f>
        <v>22815.320684931507</v>
      </c>
      <c r="D14" s="49">
        <f t="shared" si="1"/>
        <v>24491.362884246577</v>
      </c>
      <c r="E14" s="49">
        <f t="shared" si="1"/>
        <v>26703.341795938355</v>
      </c>
    </row>
    <row r="16" spans="1:8" x14ac:dyDescent="0.35">
      <c r="A16" s="42" t="s">
        <v>42</v>
      </c>
      <c r="B16" s="43">
        <f xml:space="preserve"> B8 - B14</f>
        <v>-3310.5561643835608</v>
      </c>
      <c r="C16" s="43">
        <f t="shared" ref="C16:E16" si="2" xml:space="preserve"> C8 - C14</f>
        <v>-4377.5346575342483</v>
      </c>
      <c r="D16" s="43">
        <f t="shared" si="2"/>
        <v>-4377.5346575342483</v>
      </c>
      <c r="E16" s="43">
        <f t="shared" si="2"/>
        <v>-4377.5346575342446</v>
      </c>
    </row>
    <row r="19" spans="1:5" x14ac:dyDescent="0.35">
      <c r="A19" s="90" t="s">
        <v>6</v>
      </c>
      <c r="B19" s="90"/>
      <c r="C19" s="90"/>
      <c r="D19" s="90"/>
      <c r="E19" s="90"/>
    </row>
    <row r="20" spans="1:5" x14ac:dyDescent="0.35">
      <c r="A20" s="1" t="s">
        <v>15</v>
      </c>
      <c r="B20" s="1"/>
      <c r="C20" s="1"/>
      <c r="D20" s="1"/>
      <c r="E20" s="1"/>
    </row>
    <row r="21" spans="1:5" x14ac:dyDescent="0.35">
      <c r="A21" s="1" t="s">
        <v>16</v>
      </c>
    </row>
  </sheetData>
  <mergeCells count="5">
    <mergeCell ref="A19:E19"/>
    <mergeCell ref="G2:H2"/>
    <mergeCell ref="A1:E1"/>
    <mergeCell ref="A3:E3"/>
    <mergeCell ref="A9:E9"/>
  </mergeCells>
  <conditionalFormatting sqref="B16:E1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077A-8549-4682-83E8-747725C4A055}">
  <dimension ref="A1:H25"/>
  <sheetViews>
    <sheetView topLeftCell="A9" zoomScale="130" zoomScaleNormal="130" workbookViewId="0">
      <selection activeCell="D21" sqref="D21"/>
    </sheetView>
  </sheetViews>
  <sheetFormatPr defaultRowHeight="14.5" x14ac:dyDescent="0.35"/>
  <cols>
    <col min="1" max="1" width="35.90625" customWidth="1"/>
    <col min="2" max="3" width="11.6328125" bestFit="1" customWidth="1"/>
    <col min="4" max="5" width="10.08984375" bestFit="1" customWidth="1"/>
  </cols>
  <sheetData>
    <row r="1" spans="1:8" ht="18.5" x14ac:dyDescent="0.45">
      <c r="A1" s="97" t="s">
        <v>17</v>
      </c>
      <c r="B1" s="97"/>
      <c r="C1" s="97"/>
      <c r="D1" s="97"/>
      <c r="E1" s="97"/>
    </row>
    <row r="2" spans="1:8" x14ac:dyDescent="0.35">
      <c r="A2" s="21" t="s">
        <v>43</v>
      </c>
      <c r="B2" s="28" t="s">
        <v>89</v>
      </c>
      <c r="C2" s="28" t="s">
        <v>90</v>
      </c>
      <c r="D2" s="28" t="s">
        <v>91</v>
      </c>
      <c r="E2" s="28" t="s">
        <v>92</v>
      </c>
      <c r="G2" s="92" t="str">
        <f>HYPERLINK("https://www.screener.in/company/ASIANPAINT/consolidated/", "Source: Screener")</f>
        <v>Source: Screener</v>
      </c>
      <c r="H2" s="92"/>
    </row>
    <row r="3" spans="1:8" x14ac:dyDescent="0.35">
      <c r="A3" s="85" t="s">
        <v>44</v>
      </c>
      <c r="B3" s="85"/>
      <c r="C3" s="85"/>
      <c r="D3" s="85"/>
      <c r="E3" s="85"/>
    </row>
    <row r="4" spans="1:8" x14ac:dyDescent="0.35">
      <c r="A4" s="44" t="s">
        <v>24</v>
      </c>
      <c r="B4" s="46">
        <f>'Income Statement'!B10</f>
        <v>3852.4547999999995</v>
      </c>
      <c r="C4" s="46">
        <f>'Income Statement'!C10</f>
        <v>4860.9220000000005</v>
      </c>
      <c r="D4" s="46">
        <f>'Income Statement'!D10</f>
        <v>4312.9068500000003</v>
      </c>
      <c r="E4" s="46">
        <f>'Income Statement'!E10</f>
        <v>4622.7357295000002</v>
      </c>
    </row>
    <row r="5" spans="1:8" x14ac:dyDescent="0.35">
      <c r="A5" s="44" t="s">
        <v>45</v>
      </c>
      <c r="B5" s="46">
        <f>'Income Statement'!B5</f>
        <v>858</v>
      </c>
      <c r="C5" s="46">
        <f>'Income Statement'!C5</f>
        <v>853</v>
      </c>
      <c r="D5" s="46">
        <f>'Income Statement'!D5</f>
        <v>1026</v>
      </c>
      <c r="E5" s="46">
        <f>'Income Statement'!E5</f>
        <v>1100</v>
      </c>
    </row>
    <row r="6" spans="1:8" x14ac:dyDescent="0.35">
      <c r="A6" s="44" t="s">
        <v>46</v>
      </c>
      <c r="B6" s="50">
        <v>0</v>
      </c>
      <c r="C6" s="46">
        <f>-('Balance Sheet'!C5-'Balance Sheet'!B5)</f>
        <v>-232.29863013698559</v>
      </c>
      <c r="D6" s="46">
        <f>-('Balance Sheet'!D5-'Balance Sheet'!C5)</f>
        <v>165.31917808219077</v>
      </c>
      <c r="E6" s="46">
        <f>-('Balance Sheet'!E5-'Balance Sheet'!D5)</f>
        <v>-328.79067123287587</v>
      </c>
    </row>
    <row r="7" spans="1:8" x14ac:dyDescent="0.35">
      <c r="A7" s="44" t="s">
        <v>47</v>
      </c>
      <c r="B7" s="54">
        <v>0</v>
      </c>
      <c r="C7" s="46">
        <f>-('Balance Sheet'!C6-'Balance Sheet'!B6)</f>
        <v>-433.45610958904126</v>
      </c>
      <c r="D7" s="46">
        <f>-('Balance Sheet'!D6-'Balance Sheet'!C6)</f>
        <v>-263.44097260273975</v>
      </c>
      <c r="E7" s="46">
        <f>-('Balance Sheet'!E6-'Balance Sheet'!D6)</f>
        <v>-47.531694863013399</v>
      </c>
    </row>
    <row r="8" spans="1:8" x14ac:dyDescent="0.35">
      <c r="A8" s="44" t="s">
        <v>48</v>
      </c>
      <c r="B8" s="50">
        <v>0</v>
      </c>
      <c r="C8" s="46">
        <f>('Balance Sheet'!C10-'Balance Sheet'!B10)</f>
        <v>405.73323287671224</v>
      </c>
      <c r="D8" s="46">
        <f>('Balance Sheet'!D10-'Balance Sheet'!C10)</f>
        <v>-41.864650684931348</v>
      </c>
      <c r="E8" s="46">
        <f>('Balance Sheet'!E10-'Balance Sheet'!D10)</f>
        <v>89.243182191780534</v>
      </c>
    </row>
    <row r="9" spans="1:8" x14ac:dyDescent="0.35">
      <c r="A9" s="48" t="s">
        <v>54</v>
      </c>
      <c r="B9" s="49">
        <f>SUM(B4:B8)</f>
        <v>4710.4547999999995</v>
      </c>
      <c r="C9" s="49">
        <f t="shared" ref="C9:E9" si="0">SUM(C4:C8)</f>
        <v>5453.9004931506861</v>
      </c>
      <c r="D9" s="49">
        <f t="shared" si="0"/>
        <v>5198.9204047945204</v>
      </c>
      <c r="E9" s="49">
        <f t="shared" si="0"/>
        <v>5435.6565455958917</v>
      </c>
    </row>
    <row r="10" spans="1:8" x14ac:dyDescent="0.35">
      <c r="A10" s="85" t="s">
        <v>49</v>
      </c>
      <c r="B10" s="85"/>
      <c r="C10" s="85"/>
      <c r="D10" s="85"/>
      <c r="E10" s="85"/>
    </row>
    <row r="11" spans="1:8" x14ac:dyDescent="0.35">
      <c r="A11" s="44" t="s">
        <v>50</v>
      </c>
      <c r="B11" s="46">
        <f>-Assumptions!B8</f>
        <v>-1282</v>
      </c>
      <c r="C11" s="46">
        <f>-Assumptions!C8</f>
        <v>-2548</v>
      </c>
      <c r="D11" s="46">
        <f>-Assumptions!D8</f>
        <v>-941</v>
      </c>
      <c r="E11" s="46">
        <f>-Assumptions!E8</f>
        <v>-1200</v>
      </c>
    </row>
    <row r="12" spans="1:8" x14ac:dyDescent="0.35">
      <c r="A12" s="48" t="s">
        <v>55</v>
      </c>
      <c r="B12" s="49">
        <f>B11</f>
        <v>-1282</v>
      </c>
      <c r="C12" s="49">
        <f t="shared" ref="C12:E12" si="1">C11</f>
        <v>-2548</v>
      </c>
      <c r="D12" s="49">
        <f t="shared" si="1"/>
        <v>-941</v>
      </c>
      <c r="E12" s="49">
        <f t="shared" si="1"/>
        <v>-1200</v>
      </c>
    </row>
    <row r="13" spans="1:8" x14ac:dyDescent="0.35">
      <c r="A13" s="85" t="s">
        <v>51</v>
      </c>
      <c r="B13" s="85"/>
      <c r="C13" s="85"/>
      <c r="D13" s="85"/>
      <c r="E13" s="85"/>
    </row>
    <row r="14" spans="1:8" x14ac:dyDescent="0.35">
      <c r="A14" s="44" t="s">
        <v>52</v>
      </c>
      <c r="B14" s="44">
        <v>0</v>
      </c>
      <c r="C14" s="44">
        <f>'Balance Sheet'!C11-'Balance Sheet'!B11</f>
        <v>541</v>
      </c>
      <c r="D14" s="44">
        <f>'Balance Sheet'!D11-'Balance Sheet'!C11</f>
        <v>-184</v>
      </c>
      <c r="E14" s="44">
        <f>'Balance Sheet'!E11-'Balance Sheet'!D11</f>
        <v>0</v>
      </c>
    </row>
    <row r="15" spans="1:8" x14ac:dyDescent="0.35">
      <c r="A15" s="44" t="s">
        <v>53</v>
      </c>
      <c r="B15" s="46">
        <f>-Assumptions!B13</f>
        <v>-2513</v>
      </c>
      <c r="C15" s="46">
        <f>-Assumptions!C13</f>
        <v>-3224</v>
      </c>
      <c r="D15" s="46">
        <f>-Assumptions!D13</f>
        <v>-2411</v>
      </c>
      <c r="E15" s="46">
        <f>-Assumptions!E13</f>
        <v>-2500</v>
      </c>
    </row>
    <row r="16" spans="1:8" x14ac:dyDescent="0.35">
      <c r="A16" s="48" t="s">
        <v>56</v>
      </c>
      <c r="B16" s="49">
        <f>SUM(B14:B15)</f>
        <v>-2513</v>
      </c>
      <c r="C16" s="49">
        <f t="shared" ref="C16:E16" si="2">SUM(C14:C15)</f>
        <v>-2683</v>
      </c>
      <c r="D16" s="49">
        <f t="shared" si="2"/>
        <v>-2595</v>
      </c>
      <c r="E16" s="49">
        <f t="shared" si="2"/>
        <v>-2500</v>
      </c>
    </row>
    <row r="17" spans="1:5" x14ac:dyDescent="0.35">
      <c r="A17" s="44" t="s">
        <v>57</v>
      </c>
      <c r="B17" s="46">
        <f>SUM(B9,B12,B16)</f>
        <v>915.45479999999952</v>
      </c>
      <c r="C17" s="46">
        <f t="shared" ref="C17:E17" si="3">SUM(C9,C12,C16)</f>
        <v>222.90049315068609</v>
      </c>
      <c r="D17" s="46">
        <f t="shared" si="3"/>
        <v>1662.9204047945204</v>
      </c>
      <c r="E17" s="46">
        <f t="shared" si="3"/>
        <v>1735.6565455958917</v>
      </c>
    </row>
    <row r="18" spans="1:5" x14ac:dyDescent="0.35">
      <c r="A18" s="44" t="s">
        <v>58</v>
      </c>
      <c r="B18" s="47">
        <v>3364</v>
      </c>
      <c r="C18" s="46">
        <f>'Balance Sheet'!B4</f>
        <v>3364</v>
      </c>
      <c r="D18" s="46">
        <f>'Balance Sheet'!C4</f>
        <v>3937</v>
      </c>
      <c r="E18" s="46">
        <f>'Balance Sheet'!D4</f>
        <v>5599.9204047945204</v>
      </c>
    </row>
    <row r="19" spans="1:5" x14ac:dyDescent="0.35">
      <c r="A19" s="51" t="s">
        <v>59</v>
      </c>
      <c r="B19" s="52">
        <f>SUM(B17:B18)</f>
        <v>4279.4547999999995</v>
      </c>
      <c r="C19" s="52">
        <f t="shared" ref="C19:E19" si="4">SUM(C17:C18)</f>
        <v>3586.9004931506861</v>
      </c>
      <c r="D19" s="52">
        <f t="shared" si="4"/>
        <v>5599.9204047945204</v>
      </c>
      <c r="E19" s="52">
        <f t="shared" si="4"/>
        <v>7335.5769503904121</v>
      </c>
    </row>
    <row r="21" spans="1:5" x14ac:dyDescent="0.35">
      <c r="A21" s="55" t="s">
        <v>60</v>
      </c>
      <c r="B21" s="56">
        <f>'Balance Sheet'!B4-'Cash Flow'!B19</f>
        <v>-915.45479999999952</v>
      </c>
      <c r="C21" s="56">
        <f>'Balance Sheet'!C4-'Cash Flow'!C19</f>
        <v>350.09950684931391</v>
      </c>
      <c r="D21" s="56">
        <f>'Balance Sheet'!D4-'Cash Flow'!D19</f>
        <v>0</v>
      </c>
      <c r="E21" s="56">
        <f>'Balance Sheet'!E4-'Cash Flow'!E19</f>
        <v>0</v>
      </c>
    </row>
    <row r="23" spans="1:5" x14ac:dyDescent="0.35">
      <c r="A23" s="90" t="s">
        <v>6</v>
      </c>
      <c r="B23" s="90"/>
      <c r="C23" s="90"/>
      <c r="D23" s="90"/>
      <c r="E23" s="90"/>
    </row>
    <row r="24" spans="1:5" x14ac:dyDescent="0.35">
      <c r="A24" s="1" t="s">
        <v>15</v>
      </c>
      <c r="B24" s="1"/>
      <c r="C24" s="1"/>
      <c r="D24" s="1"/>
      <c r="E24" s="1"/>
    </row>
    <row r="25" spans="1:5" x14ac:dyDescent="0.35">
      <c r="A25" s="1" t="s">
        <v>16</v>
      </c>
    </row>
  </sheetData>
  <mergeCells count="6">
    <mergeCell ref="A23:E23"/>
    <mergeCell ref="G2:H2"/>
    <mergeCell ref="A1:E1"/>
    <mergeCell ref="A3:E3"/>
    <mergeCell ref="A10:E10"/>
    <mergeCell ref="A13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EE92-0D48-4F9C-A6D2-53B6B46C798C}">
  <dimension ref="A1:M32"/>
  <sheetViews>
    <sheetView topLeftCell="A4" zoomScale="130" zoomScaleNormal="130" workbookViewId="0">
      <selection activeCell="B9" activeCellId="1" sqref="B16:F16 B9:F9"/>
    </sheetView>
  </sheetViews>
  <sheetFormatPr defaultRowHeight="14.5" x14ac:dyDescent="0.35"/>
  <cols>
    <col min="1" max="1" width="47.7265625" bestFit="1" customWidth="1"/>
    <col min="2" max="2" width="11.1796875" bestFit="1" customWidth="1"/>
    <col min="3" max="5" width="10.08984375" bestFit="1" customWidth="1"/>
    <col min="6" max="6" width="11.6328125" bestFit="1" customWidth="1"/>
  </cols>
  <sheetData>
    <row r="1" spans="1:13" ht="18.5" x14ac:dyDescent="0.45">
      <c r="A1" s="87" t="s">
        <v>17</v>
      </c>
      <c r="B1" s="88"/>
      <c r="C1" s="88"/>
      <c r="D1" s="88"/>
      <c r="E1" s="88"/>
      <c r="F1" s="89"/>
    </row>
    <row r="2" spans="1:13" x14ac:dyDescent="0.35">
      <c r="A2" s="57" t="s">
        <v>61</v>
      </c>
      <c r="B2" s="99" t="s">
        <v>68</v>
      </c>
      <c r="C2" s="99"/>
      <c r="D2" s="99"/>
      <c r="E2" s="99"/>
      <c r="F2" s="100"/>
    </row>
    <row r="3" spans="1:13" x14ac:dyDescent="0.35">
      <c r="A3" s="57" t="s">
        <v>63</v>
      </c>
      <c r="B3" s="105">
        <f>Sensitivity!I2</f>
        <v>0.12</v>
      </c>
      <c r="C3" s="106"/>
      <c r="D3" s="106"/>
      <c r="E3" s="106"/>
      <c r="F3" s="107"/>
    </row>
    <row r="4" spans="1:13" x14ac:dyDescent="0.35">
      <c r="A4" s="57" t="s">
        <v>62</v>
      </c>
      <c r="B4" s="108">
        <f>Sensitivity!I3</f>
        <v>0.04</v>
      </c>
      <c r="C4" s="109"/>
      <c r="D4" s="109"/>
      <c r="E4" s="109"/>
      <c r="F4" s="110"/>
    </row>
    <row r="5" spans="1:13" x14ac:dyDescent="0.35">
      <c r="A5" s="57" t="s">
        <v>64</v>
      </c>
      <c r="B5" s="103">
        <v>5</v>
      </c>
      <c r="C5" s="103"/>
      <c r="D5" s="103"/>
      <c r="E5" s="103"/>
      <c r="F5" s="104"/>
    </row>
    <row r="6" spans="1:13" x14ac:dyDescent="0.35">
      <c r="A6" s="57" t="s">
        <v>65</v>
      </c>
      <c r="B6" s="99">
        <v>95.92</v>
      </c>
      <c r="C6" s="99"/>
      <c r="D6" s="99"/>
      <c r="E6" s="99"/>
      <c r="F6" s="100"/>
    </row>
    <row r="7" spans="1:13" x14ac:dyDescent="0.35">
      <c r="A7" s="57" t="s">
        <v>66</v>
      </c>
      <c r="B7" s="101">
        <v>2430</v>
      </c>
      <c r="C7" s="101"/>
      <c r="D7" s="101"/>
      <c r="E7" s="101"/>
      <c r="F7" s="102"/>
    </row>
    <row r="8" spans="1:13" x14ac:dyDescent="0.35">
      <c r="A8" s="57" t="s">
        <v>67</v>
      </c>
      <c r="B8" s="99">
        <v>947</v>
      </c>
      <c r="C8" s="99"/>
      <c r="D8" s="99"/>
      <c r="E8" s="99"/>
      <c r="F8" s="100"/>
    </row>
    <row r="9" spans="1:13" x14ac:dyDescent="0.35">
      <c r="A9" s="27" t="s">
        <v>0</v>
      </c>
      <c r="B9" s="28" t="s">
        <v>90</v>
      </c>
      <c r="C9" s="28" t="s">
        <v>91</v>
      </c>
      <c r="D9" s="28" t="s">
        <v>92</v>
      </c>
      <c r="E9" s="28" t="s">
        <v>1</v>
      </c>
      <c r="F9" s="29" t="s">
        <v>2</v>
      </c>
    </row>
    <row r="10" spans="1:13" x14ac:dyDescent="0.35">
      <c r="A10" s="57" t="s">
        <v>69</v>
      </c>
      <c r="B10" s="46">
        <f>Assumptions!C3</f>
        <v>35495</v>
      </c>
      <c r="C10" s="46">
        <f>Assumptions!D3</f>
        <v>37269.75</v>
      </c>
      <c r="D10" s="46">
        <f>Assumptions!E3</f>
        <v>39878.6325</v>
      </c>
      <c r="E10" s="43">
        <f>D10*(1+0.07)</f>
        <v>42670.136774999999</v>
      </c>
      <c r="F10" s="58">
        <f>E10*(1+0.06)</f>
        <v>45230.344981499999</v>
      </c>
      <c r="H10" s="92" t="s">
        <v>70</v>
      </c>
      <c r="I10" s="92"/>
      <c r="J10" s="92"/>
      <c r="K10" s="92"/>
      <c r="L10" s="92"/>
      <c r="M10" s="92"/>
    </row>
    <row r="11" spans="1:13" x14ac:dyDescent="0.35">
      <c r="A11" s="57" t="s">
        <v>71</v>
      </c>
      <c r="B11" s="46">
        <f>Assumptions!C5*'Discounted Cash Flow'!B10</f>
        <v>7453.95</v>
      </c>
      <c r="C11" s="46">
        <f>Assumptions!D5*'Discounted Cash Flow'!C10</f>
        <v>7081.2525000000005</v>
      </c>
      <c r="D11" s="46">
        <f>Assumptions!E5*'Discounted Cash Flow'!D10</f>
        <v>7576.9401749999997</v>
      </c>
      <c r="E11" s="46">
        <f>E10*0.19</f>
        <v>8107.3259872500003</v>
      </c>
      <c r="F11" s="59">
        <f>F10*0.19</f>
        <v>8593.7655464849995</v>
      </c>
    </row>
    <row r="12" spans="1:13" x14ac:dyDescent="0.35">
      <c r="A12" s="57" t="s">
        <v>45</v>
      </c>
      <c r="B12" s="44">
        <f>Assumptions!C7</f>
        <v>853</v>
      </c>
      <c r="C12" s="44">
        <f>Assumptions!D7</f>
        <v>1026</v>
      </c>
      <c r="D12" s="44">
        <f>Assumptions!E7</f>
        <v>1100</v>
      </c>
      <c r="E12" s="54">
        <v>1150</v>
      </c>
      <c r="F12" s="60">
        <v>1200</v>
      </c>
    </row>
    <row r="13" spans="1:13" x14ac:dyDescent="0.35">
      <c r="A13" s="57" t="s">
        <v>71</v>
      </c>
      <c r="B13" s="43">
        <f>B11-B12</f>
        <v>6600.95</v>
      </c>
      <c r="C13" s="43">
        <f t="shared" ref="C13:F13" si="0">C11-C12</f>
        <v>6055.2525000000005</v>
      </c>
      <c r="D13" s="43">
        <f t="shared" si="0"/>
        <v>6476.9401749999997</v>
      </c>
      <c r="E13" s="43">
        <f t="shared" si="0"/>
        <v>6957.3259872500003</v>
      </c>
      <c r="F13" s="58">
        <f t="shared" si="0"/>
        <v>7393.7655464849995</v>
      </c>
    </row>
    <row r="14" spans="1:13" x14ac:dyDescent="0.35">
      <c r="A14" s="57" t="s">
        <v>72</v>
      </c>
      <c r="B14" s="46">
        <f>B13*Assumptions!C6</f>
        <v>1584.2279999999998</v>
      </c>
      <c r="C14" s="46">
        <f>C13*Assumptions!D6</f>
        <v>1574.3656500000002</v>
      </c>
      <c r="D14" s="46">
        <f>D13*Assumptions!E6</f>
        <v>1684.0044455</v>
      </c>
      <c r="E14" s="46">
        <f>E13*0.26</f>
        <v>1808.9047566850002</v>
      </c>
      <c r="F14" s="59">
        <f>F13*0.26</f>
        <v>1922.3790420860998</v>
      </c>
    </row>
    <row r="15" spans="1:13" x14ac:dyDescent="0.35">
      <c r="A15" s="57" t="s">
        <v>50</v>
      </c>
      <c r="B15" s="44">
        <f xml:space="preserve"> - Assumptions!C8</f>
        <v>-2548</v>
      </c>
      <c r="C15" s="44">
        <f xml:space="preserve"> - Assumptions!D8</f>
        <v>-941</v>
      </c>
      <c r="D15" s="44">
        <f xml:space="preserve"> - Assumptions!E8</f>
        <v>-1200</v>
      </c>
      <c r="E15" s="50">
        <v>-1300</v>
      </c>
      <c r="F15" s="61">
        <v>-1400</v>
      </c>
    </row>
    <row r="16" spans="1:13" x14ac:dyDescent="0.35">
      <c r="A16" s="57" t="s">
        <v>73</v>
      </c>
      <c r="B16" s="43">
        <f>B13-B14+B12+B15</f>
        <v>3321.7219999999998</v>
      </c>
      <c r="C16" s="43">
        <f t="shared" ref="C16:F16" si="1">C13-C14+C12+C15</f>
        <v>4565.8868500000008</v>
      </c>
      <c r="D16" s="43">
        <f t="shared" si="1"/>
        <v>4692.9357295</v>
      </c>
      <c r="E16" s="43">
        <f t="shared" si="1"/>
        <v>4998.4212305649999</v>
      </c>
      <c r="F16" s="58">
        <f t="shared" si="1"/>
        <v>5271.3865043988999</v>
      </c>
      <c r="H16" t="s">
        <v>76</v>
      </c>
    </row>
    <row r="17" spans="1:8" x14ac:dyDescent="0.35">
      <c r="A17" s="57" t="s">
        <v>74</v>
      </c>
      <c r="B17" s="44">
        <v>0</v>
      </c>
      <c r="C17" s="44">
        <v>1</v>
      </c>
      <c r="D17" s="44">
        <v>2</v>
      </c>
      <c r="E17" s="44">
        <v>3</v>
      </c>
      <c r="F17" s="62">
        <v>4</v>
      </c>
    </row>
    <row r="18" spans="1:8" x14ac:dyDescent="0.35">
      <c r="A18" s="57" t="s">
        <v>75</v>
      </c>
      <c r="B18" s="53">
        <f>1/((1+$B$3)^B17)</f>
        <v>1</v>
      </c>
      <c r="C18" s="53">
        <f t="shared" ref="C18:F18" si="2">1/((1+$B$3)^C17)</f>
        <v>0.89285714285714279</v>
      </c>
      <c r="D18" s="53">
        <f t="shared" si="2"/>
        <v>0.79719387755102034</v>
      </c>
      <c r="E18" s="53">
        <f t="shared" si="2"/>
        <v>0.71178024781341087</v>
      </c>
      <c r="F18" s="63">
        <f t="shared" si="2"/>
        <v>0.63551807840483121</v>
      </c>
      <c r="H18" t="s">
        <v>77</v>
      </c>
    </row>
    <row r="19" spans="1:8" ht="15" thickBot="1" x14ac:dyDescent="0.4">
      <c r="A19" s="64" t="s">
        <v>83</v>
      </c>
      <c r="B19" s="65">
        <f>B16*B18</f>
        <v>3321.7219999999998</v>
      </c>
      <c r="C19" s="65">
        <f t="shared" ref="C19:F19" si="3">C16*C18</f>
        <v>4076.6846875000006</v>
      </c>
      <c r="D19" s="65">
        <f t="shared" si="3"/>
        <v>3741.1796312978313</v>
      </c>
      <c r="E19" s="65">
        <f t="shared" si="3"/>
        <v>3557.7775021673697</v>
      </c>
      <c r="F19" s="66">
        <f t="shared" si="3"/>
        <v>3350.061421804749</v>
      </c>
    </row>
    <row r="20" spans="1:8" ht="15" thickBot="1" x14ac:dyDescent="0.4"/>
    <row r="21" spans="1:8" x14ac:dyDescent="0.35">
      <c r="A21" s="67" t="s">
        <v>82</v>
      </c>
      <c r="B21" s="68">
        <f>F16*(1+$B$4)/($B$3 - $B$4)</f>
        <v>68528.024557185709</v>
      </c>
    </row>
    <row r="22" spans="1:8" x14ac:dyDescent="0.35">
      <c r="A22" s="57" t="s">
        <v>80</v>
      </c>
      <c r="B22" s="69">
        <f>B21*F18</f>
        <v>43550.798483461745</v>
      </c>
    </row>
    <row r="23" spans="1:8" x14ac:dyDescent="0.35">
      <c r="A23" s="57"/>
      <c r="B23" s="62"/>
    </row>
    <row r="24" spans="1:8" x14ac:dyDescent="0.35">
      <c r="A24" s="57" t="s">
        <v>81</v>
      </c>
      <c r="B24" s="69">
        <f>SUM(C19:F19)</f>
        <v>14725.703242769951</v>
      </c>
    </row>
    <row r="25" spans="1:8" x14ac:dyDescent="0.35">
      <c r="A25" s="57" t="s">
        <v>80</v>
      </c>
      <c r="B25" s="69">
        <f>B22</f>
        <v>43550.798483461745</v>
      </c>
    </row>
    <row r="26" spans="1:8" x14ac:dyDescent="0.35">
      <c r="A26" s="70" t="s">
        <v>79</v>
      </c>
      <c r="B26" s="71">
        <f>B24+B25</f>
        <v>58276.501726231698</v>
      </c>
    </row>
    <row r="27" spans="1:8" x14ac:dyDescent="0.35">
      <c r="A27" s="57" t="s">
        <v>78</v>
      </c>
      <c r="B27" s="62">
        <f xml:space="preserve"> - $B$8</f>
        <v>-947</v>
      </c>
    </row>
    <row r="28" spans="1:8" x14ac:dyDescent="0.35">
      <c r="A28" s="70" t="s">
        <v>84</v>
      </c>
      <c r="B28" s="71">
        <f>B26+B27</f>
        <v>57329.501726231698</v>
      </c>
    </row>
    <row r="29" spans="1:8" x14ac:dyDescent="0.35">
      <c r="A29" s="57" t="s">
        <v>85</v>
      </c>
      <c r="B29" s="62">
        <f>$B$6</f>
        <v>95.92</v>
      </c>
    </row>
    <row r="30" spans="1:8" x14ac:dyDescent="0.35">
      <c r="A30" s="70" t="s">
        <v>86</v>
      </c>
      <c r="B30" s="71">
        <f>B28 / B29</f>
        <v>597.68037662877077</v>
      </c>
    </row>
    <row r="31" spans="1:8" x14ac:dyDescent="0.35">
      <c r="A31" s="57" t="s">
        <v>87</v>
      </c>
      <c r="B31" s="62">
        <f>$B$7</f>
        <v>2430</v>
      </c>
    </row>
    <row r="32" spans="1:8" ht="15" thickBot="1" x14ac:dyDescent="0.4">
      <c r="A32" s="72" t="s">
        <v>88</v>
      </c>
      <c r="B32" s="73">
        <f>(B30-B31)/B31</f>
        <v>-0.75404099727211082</v>
      </c>
    </row>
  </sheetData>
  <mergeCells count="9">
    <mergeCell ref="B6:F6"/>
    <mergeCell ref="B7:F7"/>
    <mergeCell ref="B8:F8"/>
    <mergeCell ref="H10:M10"/>
    <mergeCell ref="A1:F1"/>
    <mergeCell ref="B2:F2"/>
    <mergeCell ref="B5:F5"/>
    <mergeCell ref="B3:F3"/>
    <mergeCell ref="B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E694-6504-498B-B80C-6991FA75CA20}">
  <dimension ref="A1:I12"/>
  <sheetViews>
    <sheetView topLeftCell="A2" zoomScale="130" zoomScaleNormal="130" workbookViewId="0">
      <selection activeCell="H14" sqref="H14"/>
    </sheetView>
  </sheetViews>
  <sheetFormatPr defaultRowHeight="14.5" x14ac:dyDescent="0.35"/>
  <cols>
    <col min="1" max="1" width="4.90625" bestFit="1" customWidth="1"/>
    <col min="5" max="5" width="9.36328125" customWidth="1"/>
    <col min="8" max="8" width="19.453125" bestFit="1" customWidth="1"/>
    <col min="9" max="9" width="6.36328125" customWidth="1"/>
  </cols>
  <sheetData>
    <row r="1" spans="1:9" ht="18.5" x14ac:dyDescent="0.45">
      <c r="A1" s="87" t="s">
        <v>17</v>
      </c>
      <c r="B1" s="88"/>
      <c r="C1" s="88"/>
      <c r="D1" s="88"/>
      <c r="E1" s="88"/>
      <c r="F1" s="89"/>
    </row>
    <row r="2" spans="1:9" x14ac:dyDescent="0.35">
      <c r="A2" s="84" t="s">
        <v>96</v>
      </c>
      <c r="B2" s="85"/>
      <c r="C2" s="85"/>
      <c r="D2" s="85"/>
      <c r="E2" s="85"/>
      <c r="F2" s="86"/>
      <c r="H2" s="44" t="s">
        <v>94</v>
      </c>
      <c r="I2" s="74">
        <v>0.12</v>
      </c>
    </row>
    <row r="3" spans="1:9" x14ac:dyDescent="0.35">
      <c r="A3" s="84" t="s">
        <v>93</v>
      </c>
      <c r="B3" s="85"/>
      <c r="C3" s="85"/>
      <c r="D3" s="85"/>
      <c r="E3" s="85"/>
      <c r="F3" s="86"/>
      <c r="H3" s="44" t="s">
        <v>95</v>
      </c>
      <c r="I3" s="74">
        <v>0.04</v>
      </c>
    </row>
    <row r="4" spans="1:9" x14ac:dyDescent="0.35">
      <c r="A4" s="83">
        <f>'Discounted Cash Flow'!B30</f>
        <v>597.68037662877077</v>
      </c>
      <c r="B4" s="79">
        <v>0.1</v>
      </c>
      <c r="C4" s="79">
        <v>0.11</v>
      </c>
      <c r="D4" s="79">
        <v>0.12</v>
      </c>
      <c r="E4" s="79">
        <v>0.13</v>
      </c>
      <c r="F4" s="80">
        <v>0.14000000000000001</v>
      </c>
    </row>
    <row r="5" spans="1:9" x14ac:dyDescent="0.35">
      <c r="A5" s="81">
        <v>0.03</v>
      </c>
      <c r="B5" s="75">
        <f t="dataTable" ref="B5:F9" dt2D="1" dtr="1" r1="I2" r2="I3"/>
        <v>702.83367645564761</v>
      </c>
      <c r="C5" s="75">
        <v>613.11520809367062</v>
      </c>
      <c r="D5" s="75">
        <v>543.35170006350052</v>
      </c>
      <c r="E5" s="75">
        <v>487.55602847893249</v>
      </c>
      <c r="F5" s="76">
        <v>441.91823377904302</v>
      </c>
    </row>
    <row r="6" spans="1:9" x14ac:dyDescent="0.35">
      <c r="A6" s="81">
        <v>0.04</v>
      </c>
      <c r="B6" s="75">
        <v>801.14155956328989</v>
      </c>
      <c r="C6" s="75">
        <v>684.87129165144586</v>
      </c>
      <c r="D6" s="75">
        <v>597.68037662877077</v>
      </c>
      <c r="E6" s="75">
        <v>529.87526757056105</v>
      </c>
      <c r="F6" s="76">
        <v>475.63985540844038</v>
      </c>
    </row>
    <row r="7" spans="1:9" x14ac:dyDescent="0.35">
      <c r="A7" s="81">
        <v>0.05</v>
      </c>
      <c r="B7" s="75">
        <v>938.77259591398922</v>
      </c>
      <c r="C7" s="75">
        <v>780.54606972847989</v>
      </c>
      <c r="D7" s="75">
        <v>667.53153221268963</v>
      </c>
      <c r="E7" s="75">
        <v>582.77431643509681</v>
      </c>
      <c r="F7" s="76">
        <v>516.85517073325934</v>
      </c>
    </row>
    <row r="8" spans="1:9" x14ac:dyDescent="0.35">
      <c r="A8" s="81">
        <v>0.06</v>
      </c>
      <c r="B8" s="75">
        <v>1145.219150440038</v>
      </c>
      <c r="C8" s="75">
        <v>914.4907590363274</v>
      </c>
      <c r="D8" s="75">
        <v>760.66640632458154</v>
      </c>
      <c r="E8" s="75">
        <v>650.78737926092845</v>
      </c>
      <c r="F8" s="76">
        <v>568.37431488928291</v>
      </c>
    </row>
    <row r="9" spans="1:9" ht="15" thickBot="1" x14ac:dyDescent="0.4">
      <c r="A9" s="82">
        <v>7.0000000000000007E-2</v>
      </c>
      <c r="B9" s="77">
        <v>1489.2967413167864</v>
      </c>
      <c r="C9" s="77">
        <v>1115.4077929980986</v>
      </c>
      <c r="D9" s="77">
        <v>891.05523008122998</v>
      </c>
      <c r="E9" s="77">
        <v>741.47146302870408</v>
      </c>
      <c r="F9" s="78">
        <v>634.61321451845629</v>
      </c>
    </row>
    <row r="12" spans="1:9" x14ac:dyDescent="0.35">
      <c r="B12" s="111"/>
    </row>
  </sheetData>
  <mergeCells count="3">
    <mergeCell ref="A2:F2"/>
    <mergeCell ref="A3:F3"/>
    <mergeCell ref="A1:F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22A5-5225-4D28-9D6A-65230749A53B}">
  <dimension ref="A1"/>
  <sheetViews>
    <sheetView tabSelected="1" zoomScale="120" zoomScaleNormal="120" workbookViewId="0">
      <selection activeCell="M15" sqref="M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Income Statement</vt:lpstr>
      <vt:lpstr>Balance Sheet</vt:lpstr>
      <vt:lpstr>Cash Flow</vt:lpstr>
      <vt:lpstr>Discounted Cash Flow</vt:lpstr>
      <vt:lpstr>Sensitivity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satarupa mukherjee</dc:creator>
  <cp:lastModifiedBy>satarupa mukherjee</cp:lastModifiedBy>
  <dcterms:created xsi:type="dcterms:W3CDTF">2026-05-16T15:19:53Z</dcterms:created>
  <dcterms:modified xsi:type="dcterms:W3CDTF">2026-05-19T05:24:47Z</dcterms:modified>
</cp:coreProperties>
</file>